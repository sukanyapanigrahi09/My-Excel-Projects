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Tnluser.PF308536\Documents\DATA ANALYTICS &amp; AI\Internshala\Spotify Data Analysis\"/>
    </mc:Choice>
  </mc:AlternateContent>
  <bookViews>
    <workbookView xWindow="0" yWindow="0" windowWidth="23040" windowHeight="10524" tabRatio="761"/>
  </bookViews>
  <sheets>
    <sheet name="Final Conclusion and video link" sheetId="12" r:id="rId1"/>
    <sheet name="Dashboard" sheetId="13" r:id="rId2"/>
    <sheet name="Task6 Follower retention" sheetId="11" r:id="rId3"/>
    <sheet name="Task5 Campaign Effectiveness" sheetId="9" r:id="rId4"/>
    <sheet name="Task4 Hashtag and content... " sheetId="8" r:id="rId5"/>
    <sheet name="Task 3 Platform Performance " sheetId="7" r:id="rId6"/>
    <sheet name="Task 2  Engagement Analysis" sheetId="6" r:id="rId7"/>
    <sheet name="Posts(Clean)" sheetId="1" r:id="rId8"/>
    <sheet name="Engagement Summary(clean)" sheetId="2" r:id="rId9"/>
    <sheet name="Campaign Metadata (clean)" sheetId="3" r:id="rId10"/>
    <sheet name="Platform" sheetId="4" r:id="rId11"/>
    <sheet name="Week" sheetId="5" r:id="rId12"/>
  </sheets>
  <definedNames>
    <definedName name="_xlcn.LinkedTable_Table1" hidden="1">Table1[]</definedName>
    <definedName name="_xlcn.LinkedTable_Table2" hidden="1">Table2[]</definedName>
    <definedName name="_xlcn.LinkedTable_Table3" hidden="1">Table3[]</definedName>
    <definedName name="_xlcn.LinkedTable_Table4" hidden="1">Table4[]</definedName>
    <definedName name="_xlcn.LinkedTable_Table5" hidden="1">Table5[]</definedName>
    <definedName name="Slicer_Campaign_Name">#N/A</definedName>
    <definedName name="Slicer_Content_Type">#N/A</definedName>
    <definedName name="Slicer_Hashtags_Split">#N/A</definedName>
    <definedName name="Slicer_Hashtags_Used">#N/A</definedName>
    <definedName name="Slicer_Platform">#N/A</definedName>
  </definedNames>
  <calcPr calcId="152511"/>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0fe02ecd-04fb-4bbd-8bcd-537d219c27eb" name="Posts" connection="LinkedTable_Table5"/>
          <x15:modelTable id="Table4-882c8d90-26d9-40cb-846f-078e83e4089a" name="Engagement summary" connection="LinkedTable_Table4"/>
          <x15:modelTable id="Table3-b29d3807-649c-4f0c-94e4-ebae5fda44ca" name="Campaing metadata" connection="LinkedTable_Table3"/>
          <x15:modelTable id="Table2-3d894912-c3d1-41e5-b609-8369da41da9c" name="Platform" connection="LinkedTable_Table2"/>
          <x15:modelTable id="Table1-3e8dcd24-055c-427c-aaa8-fe6312e16efc" name="Week" connection="LinkedTable_Table1"/>
        </x15:modelTables>
        <x15:modelRelationships>
          <x15:modelRelationship fromTable="Posts" fromColumn="Platform" toTable="Platform" toColumn="Platform"/>
          <x15:modelRelationship fromTable="Posts" fromColumn="Week" toTable="Week" toColumn="Date"/>
          <x15:modelRelationship fromTable="Engagement summary" fromColumn="Platform" toTable="Platform" toColumn="Platform"/>
          <x15:modelRelationship fromTable="Engagement summary" fromColumn="Week_Start_Date" toTable="Week" toColumn="Date"/>
          <x15:modelRelationship fromTable="Engagement summary" fromColumn="week" toTable="Campaing metadata" toColumn="Start_Date"/>
        </x15:modelRelationships>
      </x15:dataModel>
    </ext>
  </extLst>
</workbook>
</file>

<file path=xl/calcChain.xml><?xml version="1.0" encoding="utf-8"?>
<calcChain xmlns="http://schemas.openxmlformats.org/spreadsheetml/2006/main">
  <c r="I36" i="11" l="1"/>
  <c r="F18" i="9"/>
  <c r="H2" i="2" l="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I168" i="2"/>
  <c r="D37" i="9"/>
  <c r="D38" i="9"/>
  <c r="D36" i="9"/>
  <c r="F19" i="9"/>
  <c r="F20" i="9"/>
  <c r="F21" i="9"/>
  <c r="C38" i="6"/>
  <c r="Q203" i="1" l="1"/>
  <c r="Q2" i="1"/>
  <c r="Q204" i="1"/>
  <c r="Q3" i="1"/>
  <c r="Q205" i="1"/>
  <c r="Q208" i="1"/>
  <c r="Q5" i="1"/>
  <c r="Q206" i="1"/>
  <c r="Q7" i="1"/>
  <c r="Q10" i="1"/>
  <c r="Q6" i="1"/>
  <c r="Q8" i="1"/>
  <c r="Q209" i="1"/>
  <c r="Q207" i="1"/>
  <c r="Q4" i="1"/>
  <c r="Q9" i="1"/>
  <c r="Q212" i="1"/>
  <c r="Q215" i="1"/>
  <c r="Q214" i="1"/>
  <c r="Q11" i="1"/>
  <c r="Q210" i="1"/>
  <c r="Q213" i="1"/>
  <c r="Q211" i="1"/>
  <c r="Q13" i="1"/>
  <c r="Q12" i="1"/>
  <c r="Q221" i="1"/>
  <c r="Q15" i="1"/>
  <c r="Q219" i="1"/>
  <c r="Q16" i="1"/>
  <c r="Q218" i="1"/>
  <c r="Q17" i="1"/>
  <c r="Q14" i="1"/>
  <c r="Q216" i="1"/>
  <c r="Q217" i="1"/>
  <c r="Q220" i="1"/>
  <c r="Q225" i="1"/>
  <c r="Q21" i="1"/>
  <c r="Q222" i="1"/>
  <c r="Q18" i="1"/>
  <c r="Q223" i="1"/>
  <c r="Q226" i="1"/>
  <c r="Q19" i="1"/>
  <c r="Q20" i="1"/>
  <c r="Q224" i="1"/>
  <c r="Q229" i="1"/>
  <c r="Q231" i="1"/>
  <c r="Q23" i="1"/>
  <c r="Q24" i="1"/>
  <c r="Q227" i="1"/>
  <c r="Q230" i="1"/>
  <c r="Q228" i="1"/>
  <c r="Q22" i="1"/>
  <c r="Q232" i="1"/>
  <c r="Q25" i="1"/>
  <c r="Q27" i="1"/>
  <c r="Q233" i="1"/>
  <c r="Q26" i="1"/>
  <c r="Q236" i="1"/>
  <c r="Q235" i="1"/>
  <c r="Q234" i="1"/>
  <c r="Q28" i="1"/>
  <c r="Q32" i="1"/>
  <c r="Q31" i="1"/>
  <c r="Q237" i="1"/>
  <c r="Q33" i="1"/>
  <c r="Q34" i="1"/>
  <c r="Q29" i="1"/>
  <c r="Q30" i="1"/>
  <c r="Q35" i="1"/>
  <c r="Q37" i="1"/>
  <c r="Q36" i="1"/>
  <c r="Q240" i="1"/>
  <c r="Q241" i="1"/>
  <c r="Q238" i="1"/>
  <c r="Q242" i="1"/>
  <c r="Q38" i="1"/>
  <c r="Q239" i="1"/>
  <c r="Q243" i="1"/>
  <c r="Q39" i="1"/>
  <c r="Q41" i="1"/>
  <c r="Q40" i="1"/>
  <c r="Q244" i="1"/>
  <c r="Q245" i="1"/>
  <c r="Q46" i="1"/>
  <c r="Q246" i="1"/>
  <c r="Q249" i="1"/>
  <c r="Q44" i="1"/>
  <c r="Q45" i="1"/>
  <c r="Q43" i="1"/>
  <c r="Q250" i="1"/>
  <c r="Q247" i="1"/>
  <c r="Q42" i="1"/>
  <c r="Q248" i="1"/>
  <c r="Q49" i="1"/>
  <c r="Q47" i="1"/>
  <c r="Q50" i="1"/>
  <c r="Q48" i="1"/>
  <c r="Q57" i="1"/>
  <c r="Q51" i="1"/>
  <c r="Q54" i="1"/>
  <c r="Q55" i="1"/>
  <c r="Q52" i="1"/>
  <c r="Q252" i="1"/>
  <c r="Q251" i="1"/>
  <c r="Q56" i="1"/>
  <c r="Q53" i="1"/>
  <c r="Q58" i="1"/>
  <c r="Q253" i="1"/>
  <c r="Q254" i="1"/>
  <c r="Q62" i="1"/>
  <c r="Q60" i="1"/>
  <c r="Q257" i="1"/>
  <c r="Q256" i="1"/>
  <c r="Q255" i="1"/>
  <c r="Q61" i="1"/>
  <c r="Q258" i="1"/>
  <c r="Q59" i="1"/>
  <c r="Q259" i="1"/>
  <c r="Q262" i="1"/>
  <c r="Q260" i="1"/>
  <c r="Q63" i="1"/>
  <c r="Q64" i="1"/>
  <c r="Q261" i="1"/>
  <c r="Q67" i="1"/>
  <c r="Q263" i="1"/>
  <c r="Q65" i="1"/>
  <c r="Q264" i="1"/>
  <c r="Q265" i="1"/>
  <c r="Q266" i="1"/>
  <c r="Q66" i="1"/>
  <c r="Q267" i="1"/>
  <c r="Q72" i="1"/>
  <c r="Q68" i="1"/>
  <c r="Q69" i="1"/>
  <c r="Q270" i="1"/>
  <c r="Q70" i="1"/>
  <c r="Q269" i="1"/>
  <c r="Q268" i="1"/>
  <c r="Q73" i="1"/>
  <c r="Q71" i="1"/>
  <c r="Q74" i="1"/>
  <c r="Q271" i="1"/>
  <c r="Q77" i="1"/>
  <c r="Q272" i="1"/>
  <c r="Q76" i="1"/>
  <c r="Q273" i="1"/>
  <c r="Q78" i="1"/>
  <c r="Q75" i="1"/>
  <c r="Q275" i="1"/>
  <c r="Q274" i="1"/>
  <c r="Q276" i="1"/>
  <c r="Q79" i="1"/>
  <c r="Q278" i="1"/>
  <c r="Q277" i="1"/>
  <c r="Q280" i="1"/>
  <c r="Q80" i="1"/>
  <c r="Q281" i="1"/>
  <c r="Q283" i="1"/>
  <c r="Q282" i="1"/>
  <c r="Q81" i="1"/>
  <c r="Q279" i="1"/>
  <c r="Q284" i="1"/>
  <c r="Q82" i="1"/>
  <c r="Q285" i="1"/>
  <c r="Q83" i="1"/>
  <c r="Q84" i="1"/>
  <c r="Q286" i="1"/>
  <c r="Q85" i="1"/>
  <c r="Q86" i="1"/>
  <c r="Q89" i="1"/>
  <c r="Q88" i="1"/>
  <c r="Q91" i="1"/>
  <c r="Q87" i="1"/>
  <c r="Q288" i="1"/>
  <c r="Q289" i="1"/>
  <c r="Q287" i="1"/>
  <c r="Q90" i="1"/>
  <c r="Q294" i="1"/>
  <c r="Q290" i="1"/>
  <c r="Q292" i="1"/>
  <c r="Q93" i="1"/>
  <c r="Q92" i="1"/>
  <c r="Q295" i="1"/>
  <c r="Q296" i="1"/>
  <c r="Q94" i="1"/>
  <c r="Q291" i="1"/>
  <c r="Q293" i="1"/>
  <c r="Q95" i="1"/>
  <c r="Q97" i="1"/>
  <c r="Q298" i="1"/>
  <c r="Q297" i="1"/>
  <c r="Q96" i="1"/>
  <c r="Q98" i="1"/>
  <c r="Q100" i="1"/>
  <c r="Q300" i="1"/>
  <c r="Q99" i="1"/>
  <c r="Q299" i="1"/>
  <c r="Q101" i="1"/>
  <c r="Q106" i="1"/>
  <c r="Q105" i="1"/>
  <c r="Q103" i="1"/>
  <c r="Q102" i="1"/>
  <c r="Q104" i="1"/>
  <c r="Q107" i="1"/>
  <c r="Q110" i="1"/>
  <c r="Q108" i="1"/>
  <c r="Q112" i="1"/>
  <c r="Q109" i="1"/>
  <c r="Q111" i="1"/>
  <c r="Q114" i="1"/>
  <c r="Q113" i="1"/>
  <c r="Q115" i="1"/>
  <c r="Q116" i="1"/>
  <c r="Q120" i="1"/>
  <c r="Q118" i="1"/>
  <c r="Q117" i="1"/>
  <c r="Q119" i="1"/>
  <c r="Q121" i="1"/>
  <c r="Q122" i="1"/>
  <c r="Q123" i="1"/>
  <c r="Q124" i="1"/>
  <c r="Q125" i="1"/>
  <c r="Q129" i="1"/>
  <c r="Q126" i="1"/>
  <c r="Q127" i="1"/>
  <c r="Q130" i="1"/>
  <c r="Q128" i="1"/>
  <c r="Q134" i="1"/>
  <c r="Q133" i="1"/>
  <c r="Q135" i="1"/>
  <c r="Q132" i="1"/>
  <c r="Q131" i="1"/>
  <c r="Q136" i="1"/>
  <c r="Q138" i="1"/>
  <c r="Q137" i="1"/>
  <c r="Q139" i="1"/>
  <c r="Q143" i="1"/>
  <c r="Q141" i="1"/>
  <c r="Q140" i="1"/>
  <c r="Q142" i="1"/>
  <c r="Q145" i="1"/>
  <c r="Q144" i="1"/>
  <c r="Q146" i="1"/>
  <c r="Q148" i="1"/>
  <c r="Q147" i="1"/>
  <c r="Q150" i="1"/>
  <c r="Q154" i="1"/>
  <c r="Q152" i="1"/>
  <c r="Q155" i="1"/>
  <c r="Q156" i="1"/>
  <c r="Q149" i="1"/>
  <c r="Q153" i="1"/>
  <c r="Q151" i="1"/>
  <c r="Q159" i="1"/>
  <c r="Q158" i="1"/>
  <c r="Q157" i="1"/>
  <c r="Q162" i="1"/>
  <c r="Q160" i="1"/>
  <c r="Q163" i="1"/>
  <c r="Q161" i="1"/>
  <c r="Q167" i="1"/>
  <c r="Q164" i="1"/>
  <c r="Q166" i="1"/>
  <c r="Q169" i="1"/>
  <c r="Q168" i="1"/>
  <c r="Q165" i="1"/>
  <c r="Q171" i="1"/>
  <c r="Q173" i="1"/>
  <c r="Q170" i="1"/>
  <c r="Q174" i="1"/>
  <c r="Q172" i="1"/>
  <c r="Q175" i="1"/>
  <c r="Q179" i="1"/>
  <c r="Q176" i="1"/>
  <c r="Q177" i="1"/>
  <c r="Q180" i="1"/>
  <c r="Q178" i="1"/>
  <c r="Q183" i="1"/>
  <c r="Q181" i="1"/>
  <c r="Q182" i="1"/>
  <c r="Q184" i="1"/>
  <c r="Q186" i="1"/>
  <c r="Q187" i="1"/>
  <c r="Q188" i="1"/>
  <c r="Q189" i="1"/>
  <c r="Q185" i="1"/>
  <c r="Q195" i="1"/>
  <c r="Q190" i="1"/>
  <c r="Q191" i="1"/>
  <c r="Q192" i="1"/>
  <c r="Q194" i="1"/>
  <c r="Q193" i="1"/>
  <c r="Q197" i="1"/>
  <c r="Q196" i="1"/>
  <c r="Q199" i="1"/>
  <c r="Q198" i="1"/>
  <c r="Q200" i="1"/>
  <c r="Q201" i="1"/>
  <c r="Q202" i="1"/>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P203" i="1"/>
  <c r="P2" i="1"/>
  <c r="P204" i="1"/>
  <c r="P3" i="1"/>
  <c r="P205" i="1"/>
  <c r="P208" i="1"/>
  <c r="P5" i="1"/>
  <c r="P206" i="1"/>
  <c r="P7" i="1"/>
  <c r="P10" i="1"/>
  <c r="P6" i="1"/>
  <c r="P8" i="1"/>
  <c r="P209" i="1"/>
  <c r="P207" i="1"/>
  <c r="P4" i="1"/>
  <c r="P9" i="1"/>
  <c r="P212" i="1"/>
  <c r="P215" i="1"/>
  <c r="P214" i="1"/>
  <c r="P11" i="1"/>
  <c r="P210" i="1"/>
  <c r="P213" i="1"/>
  <c r="P211" i="1"/>
  <c r="P13" i="1"/>
  <c r="P12" i="1"/>
  <c r="P221" i="1"/>
  <c r="P15" i="1"/>
  <c r="P219" i="1"/>
  <c r="P16" i="1"/>
  <c r="P218" i="1"/>
  <c r="P17" i="1"/>
  <c r="P14" i="1"/>
  <c r="P216" i="1"/>
  <c r="P217" i="1"/>
  <c r="P220" i="1"/>
  <c r="P225" i="1"/>
  <c r="P21" i="1"/>
  <c r="P222" i="1"/>
  <c r="P18" i="1"/>
  <c r="P223" i="1"/>
  <c r="P226" i="1"/>
  <c r="P19" i="1"/>
  <c r="P20" i="1"/>
  <c r="P224" i="1"/>
  <c r="P229" i="1"/>
  <c r="P231" i="1"/>
  <c r="P23" i="1"/>
  <c r="P24" i="1"/>
  <c r="P227" i="1"/>
  <c r="P230" i="1"/>
  <c r="P228" i="1"/>
  <c r="P22" i="1"/>
  <c r="P232" i="1"/>
  <c r="P25" i="1"/>
  <c r="P27" i="1"/>
  <c r="P233" i="1"/>
  <c r="P26" i="1"/>
  <c r="P236" i="1"/>
  <c r="P235" i="1"/>
  <c r="P234" i="1"/>
  <c r="P28" i="1"/>
  <c r="P32" i="1"/>
  <c r="P31" i="1"/>
  <c r="P237" i="1"/>
  <c r="P33" i="1"/>
  <c r="P34" i="1"/>
  <c r="P29" i="1"/>
  <c r="P30" i="1"/>
  <c r="P35" i="1"/>
  <c r="P37" i="1"/>
  <c r="P36" i="1"/>
  <c r="P240" i="1"/>
  <c r="P241" i="1"/>
  <c r="P238" i="1"/>
  <c r="P242" i="1"/>
  <c r="P38" i="1"/>
  <c r="P239" i="1"/>
  <c r="P243" i="1"/>
  <c r="P39" i="1"/>
  <c r="P41" i="1"/>
  <c r="P40" i="1"/>
  <c r="P244" i="1"/>
  <c r="P245" i="1"/>
  <c r="P46" i="1"/>
  <c r="P246" i="1"/>
  <c r="P249" i="1"/>
  <c r="P44" i="1"/>
  <c r="P45" i="1"/>
  <c r="P43" i="1"/>
  <c r="P250" i="1"/>
  <c r="P247" i="1"/>
  <c r="P42" i="1"/>
  <c r="P248" i="1"/>
  <c r="P49" i="1"/>
  <c r="P47" i="1"/>
  <c r="P50" i="1"/>
  <c r="P48" i="1"/>
  <c r="P57" i="1"/>
  <c r="P51" i="1"/>
  <c r="P54" i="1"/>
  <c r="P55" i="1"/>
  <c r="P52" i="1"/>
  <c r="P252" i="1"/>
  <c r="P251" i="1"/>
  <c r="P56" i="1"/>
  <c r="P53" i="1"/>
  <c r="P58" i="1"/>
  <c r="P253" i="1"/>
  <c r="P254" i="1"/>
  <c r="P62" i="1"/>
  <c r="P60" i="1"/>
  <c r="P257" i="1"/>
  <c r="P256" i="1"/>
  <c r="P255" i="1"/>
  <c r="P61" i="1"/>
  <c r="P258" i="1"/>
  <c r="P59" i="1"/>
  <c r="P259" i="1"/>
  <c r="P262" i="1"/>
  <c r="P260" i="1"/>
  <c r="P63" i="1"/>
  <c r="P64" i="1"/>
  <c r="P261" i="1"/>
  <c r="P67" i="1"/>
  <c r="P263" i="1"/>
  <c r="P65" i="1"/>
  <c r="P264" i="1"/>
  <c r="P265" i="1"/>
  <c r="P266" i="1"/>
  <c r="P66" i="1"/>
  <c r="P267" i="1"/>
  <c r="P72" i="1"/>
  <c r="P68" i="1"/>
  <c r="P69" i="1"/>
  <c r="P270" i="1"/>
  <c r="P70" i="1"/>
  <c r="P269" i="1"/>
  <c r="P268" i="1"/>
  <c r="P73" i="1"/>
  <c r="P71" i="1"/>
  <c r="P74" i="1"/>
  <c r="P271" i="1"/>
  <c r="P77" i="1"/>
  <c r="P272" i="1"/>
  <c r="P76" i="1"/>
  <c r="P273" i="1"/>
  <c r="P78" i="1"/>
  <c r="P75" i="1"/>
  <c r="P275" i="1"/>
  <c r="P274" i="1"/>
  <c r="P276" i="1"/>
  <c r="P79" i="1"/>
  <c r="P278" i="1"/>
  <c r="P277" i="1"/>
  <c r="P280" i="1"/>
  <c r="P80" i="1"/>
  <c r="P281" i="1"/>
  <c r="P283" i="1"/>
  <c r="P282" i="1"/>
  <c r="P81" i="1"/>
  <c r="P279" i="1"/>
  <c r="P284" i="1"/>
  <c r="P82" i="1"/>
  <c r="P285" i="1"/>
  <c r="P83" i="1"/>
  <c r="P84" i="1"/>
  <c r="P286" i="1"/>
  <c r="P85" i="1"/>
  <c r="P86" i="1"/>
  <c r="P89" i="1"/>
  <c r="P88" i="1"/>
  <c r="P91" i="1"/>
  <c r="P87" i="1"/>
  <c r="P288" i="1"/>
  <c r="P289" i="1"/>
  <c r="P287" i="1"/>
  <c r="P90" i="1"/>
  <c r="P294" i="1"/>
  <c r="P290" i="1"/>
  <c r="P292" i="1"/>
  <c r="P93" i="1"/>
  <c r="P92" i="1"/>
  <c r="P295" i="1"/>
  <c r="P296" i="1"/>
  <c r="P94" i="1"/>
  <c r="P291" i="1"/>
  <c r="P293" i="1"/>
  <c r="P95" i="1"/>
  <c r="P97" i="1"/>
  <c r="P298" i="1"/>
  <c r="P297" i="1"/>
  <c r="P96" i="1"/>
  <c r="P98" i="1"/>
  <c r="P100" i="1"/>
  <c r="P300" i="1"/>
  <c r="P99" i="1"/>
  <c r="P299" i="1"/>
  <c r="P101" i="1"/>
  <c r="P106" i="1"/>
  <c r="P105" i="1"/>
  <c r="P103" i="1"/>
  <c r="P102" i="1"/>
  <c r="P104" i="1"/>
  <c r="P107" i="1"/>
  <c r="P110" i="1"/>
  <c r="P108" i="1"/>
  <c r="P112" i="1"/>
  <c r="P109" i="1"/>
  <c r="P111" i="1"/>
  <c r="P114" i="1"/>
  <c r="P113" i="1"/>
  <c r="P115" i="1"/>
  <c r="P116" i="1"/>
  <c r="P120" i="1"/>
  <c r="P118" i="1"/>
  <c r="P117" i="1"/>
  <c r="P119" i="1"/>
  <c r="P121" i="1"/>
  <c r="P122" i="1"/>
  <c r="P123" i="1"/>
  <c r="P124" i="1"/>
  <c r="P125" i="1"/>
  <c r="P129" i="1"/>
  <c r="P126" i="1"/>
  <c r="P127" i="1"/>
  <c r="P130" i="1"/>
  <c r="P128" i="1"/>
  <c r="P134" i="1"/>
  <c r="P133" i="1"/>
  <c r="P135" i="1"/>
  <c r="P132" i="1"/>
  <c r="P131" i="1"/>
  <c r="P136" i="1"/>
  <c r="P138" i="1"/>
  <c r="P137" i="1"/>
  <c r="P139" i="1"/>
  <c r="P143" i="1"/>
  <c r="P141" i="1"/>
  <c r="P140" i="1"/>
  <c r="P142" i="1"/>
  <c r="P145" i="1"/>
  <c r="P144" i="1"/>
  <c r="P146" i="1"/>
  <c r="P148" i="1"/>
  <c r="P147" i="1"/>
  <c r="P150" i="1"/>
  <c r="P154" i="1"/>
  <c r="P152" i="1"/>
  <c r="P155" i="1"/>
  <c r="P156" i="1"/>
  <c r="P149" i="1"/>
  <c r="P153" i="1"/>
  <c r="P151" i="1"/>
  <c r="P159" i="1"/>
  <c r="P158" i="1"/>
  <c r="P157" i="1"/>
  <c r="P162" i="1"/>
  <c r="P160" i="1"/>
  <c r="P163" i="1"/>
  <c r="P161" i="1"/>
  <c r="P167" i="1"/>
  <c r="P164" i="1"/>
  <c r="P166" i="1"/>
  <c r="P169" i="1"/>
  <c r="P168" i="1"/>
  <c r="P165" i="1"/>
  <c r="P171" i="1"/>
  <c r="P173" i="1"/>
  <c r="P170" i="1"/>
  <c r="P174" i="1"/>
  <c r="P172" i="1"/>
  <c r="P175" i="1"/>
  <c r="P179" i="1"/>
  <c r="P176" i="1"/>
  <c r="P177" i="1"/>
  <c r="P180" i="1"/>
  <c r="P178" i="1"/>
  <c r="P183" i="1"/>
  <c r="P181" i="1"/>
  <c r="P182" i="1"/>
  <c r="P184" i="1"/>
  <c r="P186" i="1"/>
  <c r="P187" i="1"/>
  <c r="P188" i="1"/>
  <c r="P189" i="1"/>
  <c r="P185" i="1"/>
  <c r="P195" i="1"/>
  <c r="P190" i="1"/>
  <c r="P191" i="1"/>
  <c r="P192" i="1"/>
  <c r="P194" i="1"/>
  <c r="P193" i="1"/>
  <c r="P197" i="1"/>
  <c r="P196" i="1"/>
  <c r="P199" i="1"/>
  <c r="P198" i="1"/>
  <c r="P200" i="1"/>
  <c r="P201" i="1"/>
  <c r="P202" i="1"/>
  <c r="C40" i="6"/>
  <c r="C39" i="6"/>
  <c r="C41" i="6"/>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 i="5"/>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O225" i="1"/>
  <c r="O186" i="1"/>
  <c r="O187" i="1"/>
  <c r="O57" i="1"/>
  <c r="O89" i="1"/>
  <c r="O197" i="1"/>
  <c r="O72" i="1"/>
  <c r="O188" i="1"/>
  <c r="O37" i="1"/>
  <c r="O77" i="1"/>
  <c r="O294" i="1"/>
  <c r="O150" i="1"/>
  <c r="O68" i="1"/>
  <c r="O201" i="1"/>
  <c r="O88" i="1"/>
  <c r="O21" i="1"/>
  <c r="O91" i="1"/>
  <c r="O100" i="1"/>
  <c r="O167" i="1"/>
  <c r="O290" i="1"/>
  <c r="O87" i="1"/>
  <c r="O159" i="1"/>
  <c r="O154" i="1"/>
  <c r="O272" i="1"/>
  <c r="O183" i="1"/>
  <c r="O36" i="1"/>
  <c r="O245" i="1"/>
  <c r="O262" i="1"/>
  <c r="O203" i="1"/>
  <c r="O69" i="1"/>
  <c r="O152" i="1"/>
  <c r="O208" i="1"/>
  <c r="O270" i="1"/>
  <c r="O67" i="1"/>
  <c r="O280" i="1"/>
  <c r="O138" i="1"/>
  <c r="O181" i="1"/>
  <c r="O288" i="1"/>
  <c r="O62" i="1"/>
  <c r="O222" i="1"/>
  <c r="O232" i="1"/>
  <c r="O134" i="1"/>
  <c r="O107" i="1"/>
  <c r="O25" i="1"/>
  <c r="O39" i="1"/>
  <c r="O229" i="1"/>
  <c r="O129" i="1"/>
  <c r="O260" i="1"/>
  <c r="O76" i="1"/>
  <c r="O133" i="1"/>
  <c r="O121" i="1"/>
  <c r="O240" i="1"/>
  <c r="O70" i="1"/>
  <c r="O236" i="1"/>
  <c r="O5" i="1"/>
  <c r="O110" i="1"/>
  <c r="O120" i="1"/>
  <c r="O60" i="1"/>
  <c r="O2" i="1"/>
  <c r="O164" i="1"/>
  <c r="O101" i="1"/>
  <c r="O221" i="1"/>
  <c r="O80" i="1"/>
  <c r="O257" i="1"/>
  <c r="O51" i="1"/>
  <c r="O49" i="1"/>
  <c r="O196" i="1"/>
  <c r="O206" i="1"/>
  <c r="O7" i="1"/>
  <c r="O155" i="1"/>
  <c r="O269" i="1"/>
  <c r="O79" i="1"/>
  <c r="O15" i="1"/>
  <c r="O108" i="1"/>
  <c r="O281" i="1"/>
  <c r="O219" i="1"/>
  <c r="O10" i="1"/>
  <c r="O292" i="1"/>
  <c r="O241" i="1"/>
  <c r="O126" i="1"/>
  <c r="O204" i="1"/>
  <c r="O116" i="1"/>
  <c r="O124" i="1"/>
  <c r="O273" i="1"/>
  <c r="O63" i="1"/>
  <c r="O235" i="1"/>
  <c r="O189" i="1"/>
  <c r="O114" i="1"/>
  <c r="O263" i="1"/>
  <c r="O47" i="1"/>
  <c r="O35" i="1"/>
  <c r="O171" i="1"/>
  <c r="O46" i="1"/>
  <c r="O41" i="1"/>
  <c r="O16" i="1"/>
  <c r="O40" i="1"/>
  <c r="O158" i="1"/>
  <c r="O113" i="1"/>
  <c r="O156" i="1"/>
  <c r="O162" i="1"/>
  <c r="O27" i="1"/>
  <c r="O65" i="1"/>
  <c r="O143" i="1"/>
  <c r="O218" i="1"/>
  <c r="O212" i="1"/>
  <c r="O135" i="1"/>
  <c r="O179" i="1"/>
  <c r="O97" i="1"/>
  <c r="O112" i="1"/>
  <c r="O234" i="1"/>
  <c r="O137" i="1"/>
  <c r="O109" i="1"/>
  <c r="O256" i="1"/>
  <c r="O268" i="1"/>
  <c r="O28" i="1"/>
  <c r="O78" i="1"/>
  <c r="O283" i="1"/>
  <c r="O215" i="1"/>
  <c r="O264" i="1"/>
  <c r="O32" i="1"/>
  <c r="O75" i="1"/>
  <c r="O73" i="1"/>
  <c r="O166" i="1"/>
  <c r="O3" i="1"/>
  <c r="O18" i="1"/>
  <c r="O31" i="1"/>
  <c r="O300" i="1"/>
  <c r="O6" i="1"/>
  <c r="O246" i="1"/>
  <c r="O145" i="1"/>
  <c r="O17" i="1"/>
  <c r="O275" i="1"/>
  <c r="O148" i="1"/>
  <c r="O176" i="1"/>
  <c r="O54" i="1"/>
  <c r="O182" i="1"/>
  <c r="O244" i="1"/>
  <c r="O127" i="1"/>
  <c r="O147" i="1"/>
  <c r="O199" i="1"/>
  <c r="O93" i="1"/>
  <c r="O233" i="1"/>
  <c r="O282" i="1"/>
  <c r="O278" i="1"/>
  <c r="O14" i="1"/>
  <c r="O231" i="1"/>
  <c r="O255" i="1"/>
  <c r="O81" i="1"/>
  <c r="O122" i="1"/>
  <c r="O144" i="1"/>
  <c r="O289" i="1"/>
  <c r="O177" i="1"/>
  <c r="O64" i="1"/>
  <c r="O132" i="1"/>
  <c r="O238" i="1"/>
  <c r="O249" i="1"/>
  <c r="O58" i="1"/>
  <c r="O23" i="1"/>
  <c r="O279" i="1"/>
  <c r="O173" i="1"/>
  <c r="O118" i="1"/>
  <c r="O298" i="1"/>
  <c r="O71" i="1"/>
  <c r="O55" i="1"/>
  <c r="O223" i="1"/>
  <c r="O52" i="1"/>
  <c r="O205" i="1"/>
  <c r="O180" i="1"/>
  <c r="O131" i="1"/>
  <c r="O61" i="1"/>
  <c r="O84" i="1"/>
  <c r="O252" i="1"/>
  <c r="O251" i="1"/>
  <c r="O99" i="1"/>
  <c r="O170" i="1"/>
  <c r="O195" i="1"/>
  <c r="O178" i="1"/>
  <c r="O265" i="1"/>
  <c r="O44" i="1"/>
  <c r="O45" i="1"/>
  <c r="O115" i="1"/>
  <c r="O106" i="1"/>
  <c r="O261" i="1"/>
  <c r="O92" i="1"/>
  <c r="O277" i="1"/>
  <c r="O286" i="1"/>
  <c r="O237" i="1"/>
  <c r="O214" i="1"/>
  <c r="O33" i="1"/>
  <c r="O141" i="1"/>
  <c r="O85" i="1"/>
  <c r="O74" i="1"/>
  <c r="O11" i="1"/>
  <c r="O210" i="1"/>
  <c r="O190" i="1"/>
  <c r="O226" i="1"/>
  <c r="O105" i="1"/>
  <c r="O43" i="1"/>
  <c r="O139" i="1"/>
  <c r="O8" i="1"/>
  <c r="O149" i="1"/>
  <c r="O202" i="1"/>
  <c r="O258" i="1"/>
  <c r="O125" i="1"/>
  <c r="O56" i="1"/>
  <c r="O253" i="1"/>
  <c r="O111" i="1"/>
  <c r="O266" i="1"/>
  <c r="O59" i="1"/>
  <c r="O295" i="1"/>
  <c r="O297" i="1"/>
  <c r="O153" i="1"/>
  <c r="O213" i="1"/>
  <c r="O211" i="1"/>
  <c r="O284" i="1"/>
  <c r="O157" i="1"/>
  <c r="O24" i="1"/>
  <c r="O191" i="1"/>
  <c r="O271" i="1"/>
  <c r="O296" i="1"/>
  <c r="O94" i="1"/>
  <c r="O192" i="1"/>
  <c r="O19" i="1"/>
  <c r="O13" i="1"/>
  <c r="O250" i="1"/>
  <c r="O82" i="1"/>
  <c r="O34" i="1"/>
  <c r="O274" i="1"/>
  <c r="O50" i="1"/>
  <c r="O242" i="1"/>
  <c r="O160" i="1"/>
  <c r="O20" i="1"/>
  <c r="O136" i="1"/>
  <c r="O198" i="1"/>
  <c r="O12" i="1"/>
  <c r="O291" i="1"/>
  <c r="O194" i="1"/>
  <c r="O130" i="1"/>
  <c r="O140" i="1"/>
  <c r="O254" i="1"/>
  <c r="O193" i="1"/>
  <c r="O287" i="1"/>
  <c r="O209" i="1"/>
  <c r="O103" i="1"/>
  <c r="O142" i="1"/>
  <c r="O90" i="1"/>
  <c r="O38" i="1"/>
  <c r="O276" i="1"/>
  <c r="O102" i="1"/>
  <c r="O163" i="1"/>
  <c r="O117" i="1"/>
  <c r="O227" i="1"/>
  <c r="O53" i="1"/>
  <c r="O104" i="1"/>
  <c r="O86" i="1"/>
  <c r="O247" i="1"/>
  <c r="O216" i="1"/>
  <c r="O207" i="1"/>
  <c r="O174" i="1"/>
  <c r="O184" i="1"/>
  <c r="O48" i="1"/>
  <c r="O285" i="1"/>
  <c r="O293" i="1"/>
  <c r="O83" i="1"/>
  <c r="O169" i="1"/>
  <c r="O42" i="1"/>
  <c r="O95" i="1"/>
  <c r="O172" i="1"/>
  <c r="O230" i="1"/>
  <c r="O168" i="1"/>
  <c r="O26" i="1"/>
  <c r="O151" i="1"/>
  <c r="O29" i="1"/>
  <c r="O239" i="1"/>
  <c r="O228" i="1"/>
  <c r="O185" i="1"/>
  <c r="O217" i="1"/>
  <c r="O146" i="1"/>
  <c r="O4" i="1"/>
  <c r="O30" i="1"/>
  <c r="O128" i="1"/>
  <c r="O161" i="1"/>
  <c r="O224" i="1"/>
  <c r="O66" i="1"/>
  <c r="O96" i="1"/>
  <c r="O119" i="1"/>
  <c r="O220" i="1"/>
  <c r="O123" i="1"/>
  <c r="O98" i="1"/>
  <c r="O165" i="1"/>
  <c r="O259" i="1"/>
  <c r="O200" i="1"/>
  <c r="O243" i="1"/>
  <c r="O248" i="1"/>
  <c r="O175" i="1"/>
  <c r="O299" i="1"/>
  <c r="O9" i="1"/>
  <c r="O22" i="1"/>
  <c r="O267" i="1"/>
</calcChain>
</file>

<file path=xl/comments1.xml><?xml version="1.0" encoding="utf-8"?>
<comments xmlns="http://schemas.openxmlformats.org/spreadsheetml/2006/main">
  <authors>
    <author>Tnluser</author>
  </authors>
  <commentList>
    <comment ref="K40" authorId="0" shapeId="0">
      <text>
        <r>
          <rPr>
            <sz val="9"/>
            <color indexed="81"/>
            <rFont val="Tahoma"/>
            <family val="2"/>
          </rPr>
          <t>Result varries from 0.7–1 then:
There is a strong positive correlation between ad spend and follower growth, indicating that increased investment leads to higher audience acquisition.</t>
        </r>
      </text>
    </comment>
    <comment ref="K42" authorId="0" shapeId="0">
      <text>
        <r>
          <rPr>
            <sz val="9"/>
            <color indexed="81"/>
            <rFont val="Tahoma"/>
            <family val="2"/>
          </rPr>
          <t>Result ≈ 0:
Ad spend does not significantly impact growth, indicating inefficiency in marketing strategy.</t>
        </r>
      </text>
    </comment>
  </commentList>
</comments>
</file>

<file path=xl/connections.xml><?xml version="1.0" encoding="utf-8"?>
<connections xmlns="http://schemas.openxmlformats.org/spreadsheetml/2006/main">
  <connection id="1" name="LinkedTable_Table1" type="102" refreshedVersion="5" minRefreshableVersion="5">
    <extLst>
      <ext xmlns:x15="http://schemas.microsoft.com/office/spreadsheetml/2010/11/main" uri="{DE250136-89BD-433C-8126-D09CA5730AF9}">
        <x15:connection id="Table1-3e8dcd24-055c-427c-aaa8-fe6312e16efc">
          <x15:rangePr sourceName="_xlcn.LinkedTable_Table1"/>
        </x15:connection>
      </ext>
    </extLst>
  </connection>
  <connection id="2" name="LinkedTable_Table2" type="102" refreshedVersion="5" minRefreshableVersion="5">
    <extLst>
      <ext xmlns:x15="http://schemas.microsoft.com/office/spreadsheetml/2010/11/main" uri="{DE250136-89BD-433C-8126-D09CA5730AF9}">
        <x15:connection id="Table2-3d894912-c3d1-41e5-b609-8369da41da9c">
          <x15:rangePr sourceName="_xlcn.LinkedTable_Table2"/>
        </x15:connection>
      </ext>
    </extLst>
  </connection>
  <connection id="3" name="LinkedTable_Table3" type="102" refreshedVersion="5" minRefreshableVersion="5">
    <extLst>
      <ext xmlns:x15="http://schemas.microsoft.com/office/spreadsheetml/2010/11/main" uri="{DE250136-89BD-433C-8126-D09CA5730AF9}">
        <x15:connection id="Table3-b29d3807-649c-4f0c-94e4-ebae5fda44ca">
          <x15:rangePr sourceName="_xlcn.LinkedTable_Table3"/>
        </x15:connection>
      </ext>
    </extLst>
  </connection>
  <connection id="4" name="LinkedTable_Table4" type="102" refreshedVersion="5" minRefreshableVersion="5">
    <extLst>
      <ext xmlns:x15="http://schemas.microsoft.com/office/spreadsheetml/2010/11/main" uri="{DE250136-89BD-433C-8126-D09CA5730AF9}">
        <x15:connection id="Table4-882c8d90-26d9-40cb-846f-078e83e4089a">
          <x15:rangePr sourceName="_xlcn.LinkedTable_Table4"/>
        </x15:connection>
      </ext>
    </extLst>
  </connection>
  <connection id="5" name="LinkedTable_Table5" type="102" refreshedVersion="5" minRefreshableVersion="5">
    <extLst>
      <ext xmlns:x15="http://schemas.microsoft.com/office/spreadsheetml/2010/11/main" uri="{DE250136-89BD-433C-8126-D09CA5730AF9}">
        <x15:connection id="Table5-0fe02ecd-04fb-4bbd-8bcd-537d219c27eb">
          <x15:rangePr sourceName="_xlcn.LinkedTable_Table5"/>
        </x15:connection>
      </ext>
    </extLst>
  </connection>
  <connection id="6"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<sst xmlns="http://schemas.openxmlformats.org/spreadsheetml/2006/main" count="2574" uniqueCount="495">
  <si>
    <t>Post ID</t>
  </si>
  <si>
    <t>Platform</t>
  </si>
  <si>
    <t>Date</t>
  </si>
  <si>
    <t>Content Type</t>
  </si>
  <si>
    <t>Post Text</t>
  </si>
  <si>
    <t>Likes</t>
  </si>
  <si>
    <t>Shares</t>
  </si>
  <si>
    <t>Comments</t>
  </si>
  <si>
    <t>Impressions</t>
  </si>
  <si>
    <t>Reach</t>
  </si>
  <si>
    <t>Clicks</t>
  </si>
  <si>
    <t>Hashtags Used</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</si>
  <si>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</si>
  <si>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</si>
  <si>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</si>
  <si>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</si>
  <si>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</si>
  <si>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</si>
  <si>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</si>
  <si>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</si>
  <si>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</si>
  <si>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</si>
  <si>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</si>
  <si>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</si>
  <si>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</si>
  <si>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</si>
  <si>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</si>
  <si>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</si>
  <si>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</si>
  <si>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</si>
  <si>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</si>
  <si>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</si>
  <si>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Whatâ€™s your vibe today? #SpotifyHits</t>
  </si>
  <si>
    <t>SP007</t>
  </si>
  <si>
    <t>Get into the groove with our new drop!</t>
  </si>
  <si>
    <t>SP008</t>
  </si>
  <si>
    <t>SP010</t>
  </si>
  <si>
    <t>#NowPlaying</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</si>
  <si>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</si>
  <si>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</si>
  <si>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</si>
  <si>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</si>
  <si>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</si>
  <si>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</si>
  <si>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</si>
  <si>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</si>
  <si>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</si>
  <si>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</si>
  <si>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</si>
  <si>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</si>
  <si>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</si>
  <si>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</si>
  <si>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</si>
  <si>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</si>
  <si>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</si>
  <si>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</si>
  <si>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</si>
  <si>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</si>
  <si>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</si>
  <si>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</si>
  <si>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</si>
  <si>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</si>
  <si>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</si>
  <si>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</si>
  <si>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</si>
  <si>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</si>
  <si>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</si>
  <si>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</si>
  <si>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</si>
  <si>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</si>
  <si>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</si>
  <si>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</si>
  <si>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</si>
  <si>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</si>
  <si>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</si>
  <si>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</si>
  <si>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</si>
  <si>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Top trending tracks updated daily!</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</si>
  <si>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</si>
  <si>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</si>
  <si>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</si>
  <si>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</si>
  <si>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</si>
  <si>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</si>
  <si>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</si>
  <si>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</si>
  <si>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</si>
  <si>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</si>
  <si>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</si>
  <si>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</si>
  <si>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</si>
  <si>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</si>
  <si>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</si>
  <si>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</si>
  <si>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</si>
  <si>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</si>
  <si>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</si>
  <si>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</si>
  <si>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</si>
  <si>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</si>
  <si>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</si>
  <si>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</si>
  <si>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</si>
  <si>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</si>
  <si>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</si>
  <si>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</si>
  <si>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</si>
  <si>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</si>
  <si>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</si>
  <si>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</si>
  <si>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</si>
  <si>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</si>
  <si>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</si>
  <si>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</si>
  <si>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</si>
  <si>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</si>
  <si>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</si>
  <si>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</si>
  <si>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</si>
  <si>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</si>
  <si>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</si>
  <si>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</si>
  <si>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</si>
  <si>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</si>
  <si>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</si>
  <si>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</si>
  <si>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</si>
  <si>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</si>
  <si>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</si>
  <si>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</si>
  <si>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</si>
  <si>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</si>
  <si>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</si>
  <si>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</si>
  <si>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</si>
  <si>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</si>
  <si>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</si>
  <si>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</si>
  <si>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</si>
  <si>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</si>
  <si>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</si>
  <si>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</si>
  <si>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</si>
  <si>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</si>
  <si>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</si>
  <si>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</si>
  <si>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</si>
  <si>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</si>
  <si>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</si>
  <si>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</si>
  <si>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</si>
  <si>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</si>
  <si>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</si>
  <si>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</si>
  <si>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</si>
  <si>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</si>
  <si>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</si>
  <si>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</si>
  <si>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</si>
  <si>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</si>
  <si>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</si>
  <si>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</si>
  <si>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</si>
  <si>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</si>
  <si>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</si>
  <si>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</si>
  <si>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</si>
  <si>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</si>
  <si>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</si>
  <si>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</si>
  <si>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</si>
  <si>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</si>
  <si>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</si>
  <si>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</si>
  <si>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</si>
  <si>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</si>
  <si>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</si>
  <si>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</si>
  <si>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</si>
  <si>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</si>
  <si>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</si>
  <si>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</si>
  <si>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</si>
  <si>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</si>
  <si>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</si>
  <si>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</si>
  <si>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</si>
  <si>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</si>
  <si>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</si>
  <si>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</si>
  <si>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</si>
  <si>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</si>
  <si>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</si>
  <si>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</si>
  <si>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</si>
  <si>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</si>
  <si>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</si>
  <si>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</si>
  <si>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</si>
  <si>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</si>
  <si>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</si>
  <si>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</si>
  <si>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</si>
  <si>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</si>
  <si>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</si>
  <si>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</si>
  <si>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</si>
  <si>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</si>
  <si>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</si>
  <si>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</si>
  <si>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</si>
  <si>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</si>
  <si>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</si>
  <si>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</si>
  <si>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</si>
  <si>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</si>
  <si>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</si>
  <si>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</si>
  <si>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</si>
  <si>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</si>
  <si>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</si>
  <si>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</si>
  <si>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</si>
  <si>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</si>
  <si>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</si>
  <si>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</si>
  <si>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</si>
  <si>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</si>
  <si>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</si>
  <si>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</si>
  <si>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</si>
  <si>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</si>
  <si>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</si>
  <si>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</si>
  <si>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</si>
  <si>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</si>
  <si>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</si>
  <si>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</si>
  <si>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</si>
  <si>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</si>
  <si>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</si>
  <si>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</si>
  <si>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</si>
  <si>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</si>
  <si>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</si>
  <si>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</si>
  <si>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</si>
  <si>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</si>
  <si>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</si>
  <si>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</si>
  <si>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</si>
  <si>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</si>
  <si>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</si>
  <si>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</si>
  <si>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</si>
  <si>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</si>
  <si>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</si>
  <si>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</si>
  <si>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</si>
  <si>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</si>
  <si>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</si>
  <si>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</si>
  <si>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</si>
  <si>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</si>
  <si>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</si>
  <si>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</si>
  <si>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</si>
  <si>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</si>
  <si>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</si>
  <si>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</si>
  <si>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</si>
  <si>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</si>
  <si>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</si>
  <si>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</si>
  <si>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</si>
  <si>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</si>
  <si>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</si>
  <si>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</si>
  <si>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</si>
  <si>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</si>
  <si>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</si>
  <si>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</si>
  <si>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</si>
  <si>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</si>
  <si>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</si>
  <si>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</si>
  <si>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</si>
  <si>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</si>
  <si>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</si>
  <si>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</si>
  <si>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</si>
  <si>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</si>
  <si>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</si>
  <si>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</si>
  <si>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</si>
  <si>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</si>
  <si>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</si>
  <si>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</si>
  <si>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</si>
  <si>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</si>
  <si>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</si>
  <si>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</si>
  <si>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</si>
  <si>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</si>
  <si>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</si>
  <si>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</si>
  <si>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</si>
  <si>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</si>
  <si>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</si>
  <si>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</si>
  <si>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</si>
  <si>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</si>
  <si>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</si>
  <si>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</si>
  <si>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</si>
  <si>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</si>
  <si>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</si>
  <si>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</si>
  <si>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</si>
  <si>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</si>
  <si>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</si>
  <si>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</si>
  <si>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</si>
  <si>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</si>
  <si>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</si>
  <si>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</si>
  <si>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</si>
  <si>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</si>
  <si>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</si>
  <si>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</si>
  <si>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</si>
  <si>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</si>
  <si>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</si>
  <si>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</si>
  <si>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</si>
  <si>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</si>
  <si>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</si>
  <si>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</si>
  <si>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</si>
  <si>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</si>
  <si>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</si>
  <si>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</si>
  <si>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</si>
  <si>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</si>
  <si>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</si>
  <si>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Primary_Hashtags</t>
  </si>
  <si>
    <t>2024-06-15</t>
  </si>
  <si>
    <t>2024-07-15</t>
  </si>
  <si>
    <t>Brand Awareness</t>
  </si>
  <si>
    <t>2024-12-01</t>
  </si>
  <si>
    <t>2024-12-31</t>
  </si>
  <si>
    <t>Engagement</t>
  </si>
  <si>
    <t>2025-01-10</t>
  </si>
  <si>
    <t>2025-02-10</t>
  </si>
  <si>
    <t>Product Launch</t>
  </si>
  <si>
    <t>2025-03-01</t>
  </si>
  <si>
    <t>2025-03-31</t>
  </si>
  <si>
    <t>Traffic</t>
  </si>
  <si>
    <t>#MusicForEveryone</t>
  </si>
  <si>
    <t>#SpotifyWrapped</t>
  </si>
  <si>
    <t>Hashtags Split</t>
  </si>
  <si>
    <t>NA</t>
  </si>
  <si>
    <t>#ChillVibes</t>
  </si>
  <si>
    <t>#IndieWave</t>
  </si>
  <si>
    <t>Split Hashtags</t>
  </si>
  <si>
    <t>Target_Platforms1</t>
  </si>
  <si>
    <t>Target_Platforms2</t>
  </si>
  <si>
    <t>Facebook</t>
  </si>
  <si>
    <t xml:space="preserve">Week </t>
  </si>
  <si>
    <t>week</t>
  </si>
  <si>
    <t>Week</t>
  </si>
  <si>
    <t xml:space="preserve">Engagement rate </t>
  </si>
  <si>
    <t>Growth_Rate</t>
  </si>
  <si>
    <t xml:space="preserve">Task 2.2 Identify Top 10 posts by engagement rate </t>
  </si>
  <si>
    <t>Task 2.3.1  Total Likes, Shares, Comments by Content Type (e.g., Text, Story) and Platform</t>
  </si>
  <si>
    <t>Sum of Likes</t>
  </si>
  <si>
    <t>Sum of Shares</t>
  </si>
  <si>
    <t>Sum of Comments</t>
  </si>
  <si>
    <t>Column Labels</t>
  </si>
  <si>
    <t>Task 2.3.2  Average Clicks per post by Hashtag</t>
  </si>
  <si>
    <t>Hashtags used</t>
  </si>
  <si>
    <t>Hashtags Splits</t>
  </si>
  <si>
    <t>Average of Clicks</t>
  </si>
  <si>
    <t xml:space="preserve">Rank </t>
  </si>
  <si>
    <t>Task 2.4 Highlight Top-performing hashtags using ranking formulas</t>
  </si>
  <si>
    <t>Task 3.1 Determine which platform yields highest engagement</t>
  </si>
  <si>
    <t xml:space="preserve">Average of Engagement rate </t>
  </si>
  <si>
    <t xml:space="preserve">Task 3.2 Compare weekly follower growth rates across platforms </t>
  </si>
  <si>
    <t>Average of Growth_Rate</t>
  </si>
  <si>
    <t xml:space="preserve">Task 3.3 Visualize Ad Spend vs. Engagement using charts </t>
  </si>
  <si>
    <t>Sum of Ad_Spend</t>
  </si>
  <si>
    <t>Grand Total</t>
  </si>
  <si>
    <t>Average of Ad_Spend</t>
  </si>
  <si>
    <t>Taks 3.4 Recommend focusing on 1–2 platforms or continuing multi-platform justify with data</t>
  </si>
  <si>
    <t>Task 4.1 Most frequent hashtags and average engagement for each</t>
  </si>
  <si>
    <t>Count of Hashtags Used</t>
  </si>
  <si>
    <t>Sum of Total Engagement</t>
  </si>
  <si>
    <t>Average of Total Engagement</t>
  </si>
  <si>
    <t>Count of Hashtags Split</t>
  </si>
  <si>
    <t>Task 4.2 Compare content types (Text, Story,Reel) performance across platforms</t>
  </si>
  <si>
    <t>Task 4.3 Recommend optimal content type-platform combinations</t>
  </si>
  <si>
    <t>Tasks 5.1 Compute Total &amp; average impressions, likes, clicks per campaign</t>
  </si>
  <si>
    <t>Sum of Impressions</t>
  </si>
  <si>
    <t>Average of Impressions2</t>
  </si>
  <si>
    <t>Sum of Clicks</t>
  </si>
  <si>
    <t>Average of Likes2</t>
  </si>
  <si>
    <t>Average of Clicks2</t>
  </si>
  <si>
    <t>Sum of Total_Budget</t>
  </si>
  <si>
    <t>Avg. Engagement Rate</t>
  </si>
  <si>
    <t>Overall_Avg.</t>
  </si>
  <si>
    <t>Uplift %</t>
  </si>
  <si>
    <t>Formula used</t>
  </si>
  <si>
    <t>(Campaign Avg - Overall Avg) / Overall Avg</t>
  </si>
  <si>
    <t>Task 5.1.2 Engagement Upliftment</t>
  </si>
  <si>
    <t>Task 5.2.1 Campaign with highest ROI (engagement/ad spend)</t>
  </si>
  <si>
    <t>Campaign-level ROI could not be directly computed because the Engagement Summary dataset does not contain a Campaign identifier to map ad spend with engagement.</t>
  </si>
  <si>
    <t xml:space="preserve">Common column in both the worksheet (post and engagement summary) is Platform column. </t>
  </si>
  <si>
    <t>Total Engagement</t>
  </si>
  <si>
    <t>Ad-Spends</t>
  </si>
  <si>
    <t>ROI</t>
  </si>
  <si>
    <t>Task 5.2.2 Campaign with strongest follower or app download growth</t>
  </si>
  <si>
    <t>Task 6.1 Identify week with highest net follower gain</t>
  </si>
  <si>
    <t>Net_Gain</t>
  </si>
  <si>
    <t>Sum of Net_Gain</t>
  </si>
  <si>
    <t>Weeks</t>
  </si>
  <si>
    <t>Top 10  Weeks with highest net follower Gain</t>
  </si>
  <si>
    <t>Task 6.2 Moving average chart to analyze follower trends</t>
  </si>
  <si>
    <t>Dates</t>
  </si>
  <si>
    <t>The moving average trend shows a steady increase in follower growth, indicating consistent audience acquisition over time, with reduced short-term fluctuations.</t>
  </si>
  <si>
    <t>Task 6.3 Correlation between Ad Spend vs. Follower Growth/App Downloads</t>
  </si>
  <si>
    <t>Net_gain</t>
  </si>
  <si>
    <t>Correlation</t>
  </si>
  <si>
    <t>Value</t>
  </si>
  <si>
    <t>Meaning</t>
  </si>
  <si>
    <t>Strong positive correlation</t>
  </si>
  <si>
    <t>No relationship</t>
  </si>
  <si>
    <t>Negative correlation</t>
  </si>
  <si>
    <t xml:space="preserve">Conclusion 1 </t>
  </si>
  <si>
    <t>Conclusion 2</t>
  </si>
  <si>
    <t>Posts</t>
  </si>
  <si>
    <t>Week date</t>
  </si>
  <si>
    <t>Content type &amp; Platform</t>
  </si>
  <si>
    <t>hashtags Splits</t>
  </si>
  <si>
    <t>Campaign</t>
  </si>
  <si>
    <t>Platforms</t>
  </si>
  <si>
    <t>SPOTIFY DATA ANALYSIS</t>
  </si>
  <si>
    <t>Formula used :</t>
  </si>
  <si>
    <t>Growth rate : (New Followers - unfollowers)/Total followers</t>
  </si>
  <si>
    <t>Net Gain : New Followers - unfollowers</t>
  </si>
  <si>
    <t>Week : WEEKNUM(Date)</t>
  </si>
  <si>
    <t>Engagement rate : (Likes + shares + comments)/Impression</t>
  </si>
  <si>
    <t>Total Engagement : (Likes + shares + comments)</t>
  </si>
  <si>
    <t>Week : WEEKNUM(date)</t>
  </si>
  <si>
    <t>To remove uneven blank space : ctrl space &gt; ctrl G &gt; special &gt; blank &gt; enter &gt; Alt HDR</t>
  </si>
  <si>
    <t>Adjusting data : Ctrl A &gt; Alt HEF (to reset formatting) &gt; Alt HOI (to autofit column width) &gt; Alt HOA ( to adjust row height) &gt; ctrl Shift $ (currency formatting) &gt; ctrl T (turning Range into Table)</t>
  </si>
  <si>
    <t xml:space="preserve">Splitting Text into column : ctrl Shift &gt; Alt AE </t>
  </si>
  <si>
    <t>Change data types</t>
  </si>
  <si>
    <t>Use Conditional formatting to remove duplicates or go to Data &gt; remove duplicates</t>
  </si>
  <si>
    <t>To split the # : Data &gt; text to column &gt; delimited space</t>
  </si>
  <si>
    <t>Fill the blank spaces with NA : ctrl F &gt; replace blank spaces with NA</t>
  </si>
  <si>
    <t xml:space="preserve">Data Cleaning : </t>
  </si>
  <si>
    <t>Platform Trend:</t>
  </si>
  <si>
    <t>Twitter consistently showed the highest engagement levels, followed by Instagram. YouTube showed comparatively lower engagement.</t>
  </si>
  <si>
    <t>Content Type Pattern:</t>
  </si>
  <si>
    <t>Story/reel-based content generated significantly higher engagement compared to text or static posts. This indicates a strong audience preference for visual content.</t>
  </si>
  <si>
    <t>Ad Spend vs Engagement Trend:</t>
  </si>
  <si>
    <t>There is a positive relationship between ad spend and engagement, but it is not perfectly linear, suggesting diminishing returns at higher spend levels.</t>
  </si>
  <si>
    <t>Weekly Growth Pattern:</t>
  </si>
  <si>
    <t>Certain weeks showed spikes in follower growth, likely aligned with campaign launches.</t>
  </si>
  <si>
    <t>Correlation Insights:</t>
  </si>
  <si>
    <t>There is a moderate positive correlation between ad spend and follower growth/app downloads, indicating that while ads help, content quality plays an equally important role.</t>
  </si>
  <si>
    <t>Campaign Impact on Subscriptions:</t>
  </si>
  <si>
    <t>Campaign periods showed noticeable uplift in engagement and user activity, suggesting a positive indirect impact on premium subscriptions.</t>
  </si>
  <si>
    <t>Ad Budget Allocation:</t>
  </si>
  <si>
    <t>Platforms like Twitter delivered higher ROI, meaning more engagement per unit of ad spend. Therefore, budget should be focused on high-performing platforms rather than evenly distributed.</t>
  </si>
  <si>
    <t>Follower Growth Drivers:</t>
  </si>
  <si>
    <t>Growth is influenced by a combination of:</t>
  </si>
  <si>
    <t>Campaign timing</t>
  </si>
  <si>
    <t>Consistency in posting</t>
  </si>
  <si>
    <t>Content type (story outperform others)</t>
  </si>
  <si>
    <t>Drive Link :</t>
  </si>
  <si>
    <t>Ad spend positively influences growth, but must be supported by strong content strategy.</t>
  </si>
  <si>
    <t>Final Conclusion :</t>
  </si>
  <si>
    <t>Visual content, especially story and reels, are the strongest engagement driver.</t>
  </si>
  <si>
    <t>Twitter followed by Instagram are the most effective platform for both engagement and ROI.</t>
  </si>
  <si>
    <t>Data-driven decision-making can significantly improve marketing effectiveness and user acquisition.</t>
  </si>
  <si>
    <t>Challenges Faced :</t>
  </si>
  <si>
    <t>Data Integration Issues: Campaign-level ad spend and engagement data were stored in different sheets without a common key, making direct ROI calculation difficult.</t>
  </si>
  <si>
    <t>Integrating datasets with common identifiers like Campaign ID would enable more precise analysis.</t>
  </si>
  <si>
    <t>Using tools like Power BI can create more interactive dashboards.</t>
  </si>
  <si>
    <t>Advanced analytics such as predictive modeling can forecast engagement and growth trends.</t>
  </si>
  <si>
    <r>
      <rPr>
        <b/>
        <sz val="16"/>
        <color theme="1"/>
        <rFont val="Calibri"/>
        <family val="2"/>
        <scheme val="minor"/>
      </rPr>
      <t>Future Scope :</t>
    </r>
    <r>
      <rPr>
        <sz val="11"/>
        <color theme="1"/>
        <rFont val="Calibri"/>
        <family val="2"/>
        <scheme val="minor"/>
      </rPr>
      <t xml:space="preserve"> </t>
    </r>
  </si>
  <si>
    <t>Problem Statement :</t>
  </si>
  <si>
    <t>The objective of this project was to analyze Spotify’s social media performance data to understand how different platforms, content types, and campaigns contribute to user engagement, follower growth, and app downloads.</t>
  </si>
  <si>
    <t>https://drive.google.com/file/d/1glWptg7mGbQo8FhPWmfJ-C60XglFj_n_/view?usp=drivesdk</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</si>
</sst>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quot;₹&quot;\ * #,##0.00_ ;_ &quot;₹&quot;\ * \-#,##0.00_ ;_ &quot;₹&quot;\ * &quot;-&quot;??_ ;_ @_ "/>
    <numFmt numFmtId="164" formatCode="&quot;₹&quot;\ #,##0"/>
    <numFmt numFmtId="165" formatCode="0.0%"/>
  </numFmts>
  <fonts count="9" x14ac:knownFonts="1">
    <font>
      <sz val="11"/>
      <color theme="1"/>
      <name val="Calibri"/>
      <family val="2"/>
      <scheme val="minor"/>
    </font>
    <font>
      <b/>
      <sz val="11"/>
      <color theme="1"/>
      <name val="Calibri"/>
      <family val="2"/>
      <scheme val="minor"/>
    </font>
    <font>
      <sz val="11"/>
      <color theme="1"/>
      <name val="Calibri"/>
      <scheme val="minor"/>
    </font>
    <font>
      <b/>
      <sz val="11"/>
      <color theme="1"/>
      <name val="Calibri"/>
      <scheme val="minor"/>
    </font>
    <font>
      <sz val="11"/>
      <color theme="1"/>
      <name val="Calibri"/>
      <family val="2"/>
      <scheme val="minor"/>
    </font>
    <font>
      <sz val="9"/>
      <color indexed="81"/>
      <name val="Tahoma"/>
      <family val="2"/>
    </font>
    <font>
      <b/>
      <sz val="24"/>
      <color rgb="FF00B050"/>
      <name val="Calibri"/>
      <family val="2"/>
      <scheme val="minor"/>
    </font>
    <font>
      <b/>
      <sz val="16"/>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44" fontId="4" fillId="0" borderId="0" applyFont="0" applyFill="0" applyBorder="0" applyAlignment="0" applyProtection="0"/>
    <xf numFmtId="0" fontId="8" fillId="0" borderId="0" applyNumberFormat="0" applyFill="0" applyBorder="0" applyAlignment="0" applyProtection="0"/>
  </cellStyleXfs>
  <cellXfs count="40">
    <xf numFmtId="0" fontId="0" fillId="0" borderId="0" xfId="0"/>
    <xf numFmtId="49" fontId="0" fillId="0" borderId="0" xfId="0" applyNumberFormat="1" applyFont="1" applyAlignment="1"/>
    <xf numFmtId="14" fontId="0" fillId="0" borderId="0" xfId="0" applyNumberFormat="1" applyFont="1" applyAlignment="1"/>
    <xf numFmtId="1" fontId="0" fillId="0" borderId="0" xfId="0" applyNumberFormat="1" applyFont="1" applyAlignment="1"/>
    <xf numFmtId="49" fontId="1" fillId="0" borderId="0" xfId="0" applyNumberFormat="1" applyFont="1" applyAlignment="1"/>
    <xf numFmtId="14" fontId="1" fillId="0" borderId="0" xfId="0" applyNumberFormat="1" applyFont="1" applyAlignment="1"/>
    <xf numFmtId="1" fontId="1" fillId="0" borderId="0" xfId="0" applyNumberFormat="1" applyFont="1" applyAlignment="1"/>
    <xf numFmtId="0" fontId="1" fillId="0" borderId="0" xfId="0" applyFont="1"/>
    <xf numFmtId="49" fontId="0" fillId="0" borderId="0" xfId="0" applyNumberFormat="1"/>
    <xf numFmtId="14" fontId="0" fillId="0" borderId="0" xfId="0" applyNumberFormat="1"/>
    <xf numFmtId="164" fontId="0" fillId="0" borderId="0" xfId="0" applyNumberFormat="1"/>
    <xf numFmtId="14" fontId="1" fillId="0" borderId="0" xfId="0" applyNumberFormat="1" applyFont="1"/>
    <xf numFmtId="2" fontId="0" fillId="0" borderId="0" xfId="0" applyNumberFormat="1"/>
    <xf numFmtId="1" fontId="1" fillId="0" borderId="0" xfId="0" applyNumberFormat="1" applyFont="1"/>
    <xf numFmtId="1" fontId="0" fillId="0" borderId="0" xfId="0" applyNumberFormat="1"/>
    <xf numFmtId="164" fontId="1" fillId="0" borderId="0" xfId="0" applyNumberFormat="1" applyFont="1"/>
    <xf numFmtId="49" fontId="1" fillId="0" borderId="0" xfId="0" applyNumberFormat="1" applyFont="1"/>
    <xf numFmtId="10" fontId="3" fillId="0" borderId="0" xfId="0" applyNumberFormat="1" applyFont="1"/>
    <xf numFmtId="10" fontId="0" fillId="0" borderId="0" xfId="0" applyNumberFormat="1"/>
    <xf numFmtId="10" fontId="3" fillId="0" borderId="0" xfId="0" applyNumberFormat="1" applyFont="1" applyAlignment="1"/>
    <xf numFmtId="10" fontId="2" fillId="0" borderId="0" xfId="0" applyNumberFormat="1" applyFont="1" applyAlignme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xf>
    <xf numFmtId="1" fontId="3" fillId="0" borderId="0" xfId="0" applyNumberFormat="1" applyFont="1" applyAlignment="1"/>
    <xf numFmtId="1" fontId="2" fillId="0" borderId="0" xfId="0" applyNumberFormat="1" applyFont="1" applyAlignment="1"/>
    <xf numFmtId="165" fontId="0" fillId="0" borderId="0" xfId="0" applyNumberFormat="1"/>
    <xf numFmtId="0" fontId="1" fillId="0" borderId="0" xfId="1" applyNumberFormat="1" applyFont="1"/>
    <xf numFmtId="0" fontId="0" fillId="0" borderId="0" xfId="1" applyNumberFormat="1" applyFont="1"/>
    <xf numFmtId="0" fontId="1" fillId="0" borderId="0" xfId="0" applyFont="1" applyAlignment="1">
      <alignment horizontal="left"/>
    </xf>
    <xf numFmtId="1" fontId="3" fillId="0" borderId="0" xfId="0" applyNumberFormat="1" applyFont="1"/>
    <xf numFmtId="0" fontId="6" fillId="2" borderId="0" xfId="0" applyFont="1" applyFill="1"/>
    <xf numFmtId="0" fontId="0" fillId="0" borderId="0" xfId="0" applyAlignment="1">
      <alignment horizontal="left" vertical="center" indent="1"/>
    </xf>
    <xf numFmtId="0" fontId="1" fillId="0" borderId="0" xfId="0" applyFont="1" applyAlignment="1">
      <alignment horizontal="left" vertical="center" indent="1"/>
    </xf>
    <xf numFmtId="0" fontId="7" fillId="0" borderId="0" xfId="0" applyFont="1" applyAlignment="1">
      <alignment vertical="center"/>
    </xf>
    <xf numFmtId="0" fontId="7" fillId="0" borderId="0" xfId="0" applyFont="1" applyAlignment="1">
      <alignment horizontal="left" vertical="center" indent="1"/>
    </xf>
    <xf numFmtId="0" fontId="7" fillId="0" borderId="0" xfId="0" applyFont="1"/>
    <xf numFmtId="0" fontId="8" fillId="0" borderId="0" xfId="2"/>
  </cellXfs>
  <cellStyles count="3">
    <cellStyle name="Currency" xfId="1" builtinId="4"/>
    <cellStyle name="Hyperlink" xfId="2" builtinId="8"/>
    <cellStyle name="Normal" xfId="0" builtinId="0"/>
  </cellStyles>
  <dxfs count="50">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164" formatCode="&quot;₹&quot;\ #,##0"/>
    </dxf>
    <dxf>
      <numFmt numFmtId="30" formatCode="@"/>
    </dxf>
    <dxf>
      <numFmt numFmtId="19" formatCode="dd/mm/yyyy"/>
    </dxf>
    <dxf>
      <numFmt numFmtId="19" formatCode="dd/mm/yyyy"/>
    </dxf>
    <dxf>
      <numFmt numFmtId="30" formatCode="@"/>
    </dxf>
    <dxf>
      <font>
        <b/>
        <i val="0"/>
        <strike val="0"/>
        <condense val="0"/>
        <extend val="0"/>
        <outline val="0"/>
        <shadow val="0"/>
        <u val="none"/>
        <vertAlign val="baseline"/>
        <sz val="11"/>
        <color theme="1"/>
        <name val="Calibri"/>
        <scheme val="minor"/>
      </font>
      <numFmt numFmtId="30" formatCode="@"/>
    </dxf>
    <dxf>
      <numFmt numFmtId="1" formatCode="0"/>
    </dxf>
    <dxf>
      <numFmt numFmtId="14" formatCode="0.00%"/>
    </dxf>
    <dxf>
      <numFmt numFmtId="164" formatCode="&quot;₹&quot;\ #,##0"/>
    </dxf>
    <dxf>
      <numFmt numFmtId="0" formatCode="General"/>
    </dxf>
    <dxf>
      <numFmt numFmtId="1" formatCode="0"/>
    </dxf>
    <dxf>
      <numFmt numFmtId="1" formatCode="0"/>
    </dxf>
    <dxf>
      <numFmt numFmtId="1" formatCode="0"/>
    </dxf>
    <dxf>
      <numFmt numFmtId="30" formatCode="@"/>
    </dxf>
    <dxf>
      <numFmt numFmtId="19" formatCode="dd/mm/yyyy"/>
    </dxf>
    <dxf>
      <font>
        <b/>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30" formatCode="@"/>
      <alignment horizontal="general" vertical="bottom" textRotation="0" wrapText="0" indent="0" justifyLastLine="0" shrinkToFit="0" readingOrder="0"/>
    </dxf>
    <dxf>
      <numFmt numFmtId="165" formatCode="0.0%"/>
    </dxf>
    <dxf>
      <numFmt numFmtId="165" formatCode="0.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scheme val="minor"/>
      </font>
    </dxf>
    <dxf>
      <numFmt numFmtId="14" formatCode="0.00%"/>
    </dxf>
    <dxf>
      <numFmt numFmtId="0" formatCode="General"/>
    </dxf>
    <dxf>
      <numFmt numFmtId="1" formatCode="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worksheet" Target="worksheets/sheet10.xml"/><Relationship Id="rId19" Type="http://schemas.microsoft.com/office/2007/relationships/slicerCache" Target="slicerCaches/slicerCache4.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5.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Posts</a:t>
            </a:r>
            <a:r>
              <a:rPr lang="en-US" baseline="0"/>
              <a:t> by Eng.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  Engagement Analysis'!$B$3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Engagement Analysis'!$A$4:$A$13</c:f>
              <c:strCache>
                <c:ptCount val="10"/>
                <c:pt idx="0">
                  <c:v>Discover fresh beats on Spotify!</c:v>
                </c:pt>
                <c:pt idx="1">
                  <c:v>Explore the latest podcasts now.</c:v>
                </c:pt>
                <c:pt idx="2">
                  <c:v>From pop to podcasts, itâ€™s all here.</c:v>
                </c:pt>
                <c:pt idx="3">
                  <c:v>Get into the groove with our new drop!</c:v>
                </c:pt>
                <c:pt idx="4">
                  <c:v>Music that moves youâ€”only on Spotify.</c:v>
                </c:pt>
                <c:pt idx="5">
                  <c:v>New music just dropped. Hit play!</c:v>
                </c:pt>
                <c:pt idx="6">
                  <c:v>Top trending tracks updated daily!</c:v>
                </c:pt>
                <c:pt idx="7">
                  <c:v>Whatâ€™s your vibe today? #SpotifyHits</c:v>
                </c:pt>
                <c:pt idx="8">
                  <c:v>Wrapped is here! Relive your top tracks ðŸŽ§</c:v>
                </c:pt>
                <c:pt idx="9">
                  <c:v>Your weekend playlist is waiting.</c:v>
                </c:pt>
              </c:strCache>
            </c:strRef>
          </c:cat>
          <c:val>
            <c:numRef>
              <c:f>'Task 2  Engagement Analysis'!$B$4:$B$13</c:f>
              <c:numCache>
                <c:formatCode>0.00%</c:formatCode>
                <c:ptCount val="10"/>
                <c:pt idx="0">
                  <c:v>8.4147145780507721E-2</c:v>
                </c:pt>
                <c:pt idx="1">
                  <c:v>9.8512882188744086E-2</c:v>
                </c:pt>
                <c:pt idx="2">
                  <c:v>5.8569156787750744E-2</c:v>
                </c:pt>
                <c:pt idx="3">
                  <c:v>0.13289034049926018</c:v>
                </c:pt>
                <c:pt idx="4">
                  <c:v>9.4329923831438192E-2</c:v>
                </c:pt>
                <c:pt idx="5">
                  <c:v>0.1088306228101783</c:v>
                </c:pt>
                <c:pt idx="6">
                  <c:v>9.6066529170710527E-2</c:v>
                </c:pt>
                <c:pt idx="7">
                  <c:v>0.11163945284184459</c:v>
                </c:pt>
                <c:pt idx="8">
                  <c:v>9.0188295663678586E-2</c:v>
                </c:pt>
                <c:pt idx="9">
                  <c:v>8.590941260242746E-2</c:v>
                </c:pt>
              </c:numCache>
            </c:numRef>
          </c:val>
        </c:ser>
        <c:dLbls>
          <c:dLblPos val="outEnd"/>
          <c:showLegendKey val="0"/>
          <c:showVal val="1"/>
          <c:showCatName val="0"/>
          <c:showSerName val="0"/>
          <c:showPercent val="0"/>
          <c:showBubbleSize val="0"/>
        </c:dLbls>
        <c:gapWidth val="219"/>
        <c:overlap val="-27"/>
        <c:axId val="2045200560"/>
        <c:axId val="2045186416"/>
      </c:barChart>
      <c:catAx>
        <c:axId val="204520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86416"/>
        <c:crosses val="autoZero"/>
        <c:auto val="1"/>
        <c:lblAlgn val="ctr"/>
        <c:lblOffset val="100"/>
        <c:noMultiLvlLbl val="0"/>
      </c:catAx>
      <c:valAx>
        <c:axId val="2045186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045200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l,s,c, by Content type and platform</a:t>
            </a:r>
            <a:endParaRPr lang="en-IN"/>
          </a:p>
        </c:rich>
      </c:tx>
      <c:layout>
        <c:manualLayout>
          <c:xMode val="edge"/>
          <c:yMode val="edge"/>
          <c:x val="0.19981121898597629"/>
          <c:y val="2.19298245614035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00B050"/>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16062353907889174"/>
          <c:y val="0.19005724623557915"/>
          <c:w val="0.58564846947323079"/>
          <c:h val="0.46816699029291836"/>
        </c:manualLayout>
      </c:layout>
      <c:barChart>
        <c:barDir val="col"/>
        <c:grouping val="clustered"/>
        <c:varyColors val="0"/>
        <c:ser>
          <c:idx val="0"/>
          <c:order val="0"/>
          <c:tx>
            <c:strRef>
              <c:f>'Task 2  Engagement Analysis'!$B$17</c:f>
              <c:strCache>
                <c:ptCount val="1"/>
                <c:pt idx="0">
                  <c:v>Sum of Likes</c:v>
                </c:pt>
              </c:strCache>
            </c:strRef>
          </c:tx>
          <c:spPr>
            <a:solidFill>
              <a:srgbClr val="00B050"/>
            </a:solidFill>
            <a:ln>
              <a:noFill/>
            </a:ln>
            <a:effectLst/>
          </c:spPr>
          <c:invertIfNegative val="0"/>
          <c:cat>
            <c:multiLvlStrRef>
              <c:f>'Task 2  Engagement Analysis'!$A$18:$A$21</c:f>
              <c:multiLvlStrCache>
                <c:ptCount val="2"/>
                <c:lvl>
                  <c:pt idx="0">
                    <c:v>Text</c:v>
                  </c:pt>
                  <c:pt idx="1">
                    <c:v>Story</c:v>
                  </c:pt>
                </c:lvl>
                <c:lvl>
                  <c:pt idx="0">
                    <c:v>Instagram</c:v>
                  </c:pt>
                  <c:pt idx="1">
                    <c:v>Twitter</c:v>
                  </c:pt>
                </c:lvl>
              </c:multiLvlStrCache>
            </c:multiLvlStrRef>
          </c:cat>
          <c:val>
            <c:numRef>
              <c:f>'Task 2  Engagement Analysis'!$B$18:$B$21</c:f>
              <c:numCache>
                <c:formatCode>General</c:formatCode>
                <c:ptCount val="2"/>
                <c:pt idx="0">
                  <c:v>92898</c:v>
                </c:pt>
                <c:pt idx="1">
                  <c:v>167836</c:v>
                </c:pt>
              </c:numCache>
            </c:numRef>
          </c:val>
        </c:ser>
        <c:ser>
          <c:idx val="1"/>
          <c:order val="1"/>
          <c:tx>
            <c:strRef>
              <c:f>'Task 2  Engagement Analysis'!$C$17</c:f>
              <c:strCache>
                <c:ptCount val="1"/>
                <c:pt idx="0">
                  <c:v>Sum of Shares</c:v>
                </c:pt>
              </c:strCache>
            </c:strRef>
          </c:tx>
          <c:spPr>
            <a:solidFill>
              <a:schemeClr val="accent2"/>
            </a:solidFill>
            <a:ln>
              <a:noFill/>
            </a:ln>
            <a:effectLst/>
          </c:spPr>
          <c:invertIfNegative val="0"/>
          <c:cat>
            <c:multiLvlStrRef>
              <c:f>'Task 2  Engagement Analysis'!$A$18:$A$21</c:f>
              <c:multiLvlStrCache>
                <c:ptCount val="2"/>
                <c:lvl>
                  <c:pt idx="0">
                    <c:v>Text</c:v>
                  </c:pt>
                  <c:pt idx="1">
                    <c:v>Story</c:v>
                  </c:pt>
                </c:lvl>
                <c:lvl>
                  <c:pt idx="0">
                    <c:v>Instagram</c:v>
                  </c:pt>
                  <c:pt idx="1">
                    <c:v>Twitter</c:v>
                  </c:pt>
                </c:lvl>
              </c:multiLvlStrCache>
            </c:multiLvlStrRef>
          </c:cat>
          <c:val>
            <c:numRef>
              <c:f>'Task 2  Engagement Analysis'!$C$18:$C$21</c:f>
              <c:numCache>
                <c:formatCode>General</c:formatCode>
                <c:ptCount val="2"/>
                <c:pt idx="0">
                  <c:v>11075</c:v>
                </c:pt>
                <c:pt idx="1">
                  <c:v>15643</c:v>
                </c:pt>
              </c:numCache>
            </c:numRef>
          </c:val>
        </c:ser>
        <c:ser>
          <c:idx val="2"/>
          <c:order val="2"/>
          <c:tx>
            <c:strRef>
              <c:f>'Task 2  Engagement Analysis'!$D$17</c:f>
              <c:strCache>
                <c:ptCount val="1"/>
                <c:pt idx="0">
                  <c:v>Sum of Comments</c:v>
                </c:pt>
              </c:strCache>
            </c:strRef>
          </c:tx>
          <c:spPr>
            <a:solidFill>
              <a:schemeClr val="accent3"/>
            </a:solidFill>
            <a:ln>
              <a:noFill/>
            </a:ln>
            <a:effectLst/>
          </c:spPr>
          <c:invertIfNegative val="0"/>
          <c:cat>
            <c:multiLvlStrRef>
              <c:f>'Task 2  Engagement Analysis'!$A$18:$A$21</c:f>
              <c:multiLvlStrCache>
                <c:ptCount val="2"/>
                <c:lvl>
                  <c:pt idx="0">
                    <c:v>Text</c:v>
                  </c:pt>
                  <c:pt idx="1">
                    <c:v>Story</c:v>
                  </c:pt>
                </c:lvl>
                <c:lvl>
                  <c:pt idx="0">
                    <c:v>Instagram</c:v>
                  </c:pt>
                  <c:pt idx="1">
                    <c:v>Twitter</c:v>
                  </c:pt>
                </c:lvl>
              </c:multiLvlStrCache>
            </c:multiLvlStrRef>
          </c:cat>
          <c:val>
            <c:numRef>
              <c:f>'Task 2  Engagement Analysis'!$D$18:$D$21</c:f>
              <c:numCache>
                <c:formatCode>General</c:formatCode>
                <c:ptCount val="2"/>
                <c:pt idx="0">
                  <c:v>7207</c:v>
                </c:pt>
                <c:pt idx="1">
                  <c:v>11764</c:v>
                </c:pt>
              </c:numCache>
            </c:numRef>
          </c:val>
        </c:ser>
        <c:dLbls>
          <c:showLegendKey val="0"/>
          <c:showVal val="0"/>
          <c:showCatName val="0"/>
          <c:showSerName val="0"/>
          <c:showPercent val="0"/>
          <c:showBubbleSize val="0"/>
        </c:dLbls>
        <c:gapWidth val="219"/>
        <c:overlap val="-27"/>
        <c:axId val="2045186960"/>
        <c:axId val="2045190224"/>
      </c:barChart>
      <c:catAx>
        <c:axId val="2045186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90224"/>
        <c:crosses val="autoZero"/>
        <c:auto val="1"/>
        <c:lblAlgn val="ctr"/>
        <c:lblOffset val="100"/>
        <c:noMultiLvlLbl val="0"/>
      </c:catAx>
      <c:valAx>
        <c:axId val="2045190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Like, share, comments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8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clicks per hashtag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Engagement Analysis'!$B$30</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Engagement Analysis'!$A$31:$A$32</c:f>
              <c:strCache>
                <c:ptCount val="2"/>
                <c:pt idx="0">
                  <c:v>#MusicForEveryone</c:v>
                </c:pt>
                <c:pt idx="1">
                  <c:v>#SoundtrackOfLife</c:v>
                </c:pt>
              </c:strCache>
            </c:strRef>
          </c:cat>
          <c:val>
            <c:numRef>
              <c:f>'Task 2  Engagement Analysis'!$B$31:$B$32</c:f>
              <c:numCache>
                <c:formatCode>0</c:formatCode>
                <c:ptCount val="2"/>
                <c:pt idx="0">
                  <c:v>171.87878787878788</c:v>
                </c:pt>
                <c:pt idx="1">
                  <c:v>191.66037735849056</c:v>
                </c:pt>
              </c:numCache>
            </c:numRef>
          </c:val>
        </c:ser>
        <c:dLbls>
          <c:dLblPos val="outEnd"/>
          <c:showLegendKey val="0"/>
          <c:showVal val="1"/>
          <c:showCatName val="0"/>
          <c:showSerName val="0"/>
          <c:showPercent val="0"/>
          <c:showBubbleSize val="0"/>
        </c:dLbls>
        <c:gapWidth val="182"/>
        <c:axId val="2045187504"/>
        <c:axId val="2045188048"/>
      </c:barChart>
      <c:catAx>
        <c:axId val="2045187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88048"/>
        <c:crosses val="autoZero"/>
        <c:auto val="1"/>
        <c:lblAlgn val="ctr"/>
        <c:lblOffset val="100"/>
        <c:noMultiLvlLbl val="0"/>
      </c:catAx>
      <c:valAx>
        <c:axId val="204518804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Clicks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04518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Analysis!PivotTable4</c:name>
    <c:fmtId val="4"/>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Avg. clicks per hashtag</a:t>
            </a:r>
            <a:endParaRPr lang="en-IN">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50">
                <a:alpha val="42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Engagement Analysis'!$E$30</c:f>
              <c:strCache>
                <c:ptCount val="1"/>
                <c:pt idx="0">
                  <c:v>Total</c:v>
                </c:pt>
              </c:strCache>
            </c:strRef>
          </c:tx>
          <c:spPr>
            <a:solidFill>
              <a:srgbClr val="00B050"/>
            </a:solidFill>
            <a:ln>
              <a:solidFill>
                <a:srgbClr val="00B050">
                  <a:alpha val="42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Engagement Analysis'!$D$31</c:f>
              <c:strCache>
                <c:ptCount val="1"/>
                <c:pt idx="0">
                  <c:v>#NowPlaying</c:v>
                </c:pt>
              </c:strCache>
            </c:strRef>
          </c:cat>
          <c:val>
            <c:numRef>
              <c:f>'Task 2  Engagement Analysis'!$E$31</c:f>
              <c:numCache>
                <c:formatCode>0</c:formatCode>
                <c:ptCount val="1"/>
                <c:pt idx="0">
                  <c:v>184.06976744186048</c:v>
                </c:pt>
              </c:numCache>
            </c:numRef>
          </c:val>
        </c:ser>
        <c:dLbls>
          <c:dLblPos val="outEnd"/>
          <c:showLegendKey val="0"/>
          <c:showVal val="1"/>
          <c:showCatName val="0"/>
          <c:showSerName val="0"/>
          <c:showPercent val="0"/>
          <c:showBubbleSize val="0"/>
        </c:dLbls>
        <c:gapWidth val="182"/>
        <c:axId val="2045200016"/>
        <c:axId val="2045195664"/>
      </c:barChart>
      <c:catAx>
        <c:axId val="20452000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95664"/>
        <c:crosses val="autoZero"/>
        <c:auto val="1"/>
        <c:lblAlgn val="ctr"/>
        <c:lblOffset val="100"/>
        <c:noMultiLvlLbl val="0"/>
      </c:catAx>
      <c:valAx>
        <c:axId val="204519566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Clicks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045200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a:t>
            </a:r>
            <a:r>
              <a:rPr lang="en-US" baseline="0"/>
              <a:t> By Eng.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 Platform Performance '!$B$3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Platform Performance '!$A$4:$A$5</c:f>
              <c:strCache>
                <c:ptCount val="2"/>
                <c:pt idx="0">
                  <c:v>Instagram</c:v>
                </c:pt>
                <c:pt idx="1">
                  <c:v>Twitter</c:v>
                </c:pt>
              </c:strCache>
            </c:strRef>
          </c:cat>
          <c:val>
            <c:numRef>
              <c:f>'Task 3 Platform Performance '!$B$4:$B$5</c:f>
              <c:numCache>
                <c:formatCode>0.00%</c:formatCode>
                <c:ptCount val="2"/>
                <c:pt idx="0">
                  <c:v>8.8046020093982283E-2</c:v>
                </c:pt>
                <c:pt idx="1">
                  <c:v>0.1042061943385596</c:v>
                </c:pt>
              </c:numCache>
            </c:numRef>
          </c:val>
        </c:ser>
        <c:dLbls>
          <c:dLblPos val="outEnd"/>
          <c:showLegendKey val="0"/>
          <c:showVal val="1"/>
          <c:showCatName val="0"/>
          <c:showSerName val="0"/>
          <c:showPercent val="0"/>
          <c:showBubbleSize val="0"/>
        </c:dLbls>
        <c:gapWidth val="182"/>
        <c:axId val="2045189136"/>
        <c:axId val="2045199472"/>
      </c:barChart>
      <c:catAx>
        <c:axId val="2045189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99472"/>
        <c:crosses val="autoZero"/>
        <c:auto val="1"/>
        <c:lblAlgn val="ctr"/>
        <c:lblOffset val="100"/>
        <c:noMultiLvlLbl val="0"/>
      </c:catAx>
      <c:valAx>
        <c:axId val="204519947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04518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follower growth rates across platforms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rgbClr val="00B050"/>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cked"/>
        <c:varyColors val="0"/>
        <c:ser>
          <c:idx val="0"/>
          <c:order val="0"/>
          <c:tx>
            <c:strRef>
              <c:f>'Task 3 Platform Performance '!$B$10:$B$11</c:f>
              <c:strCache>
                <c:ptCount val="1"/>
                <c:pt idx="0">
                  <c:v>Instagram</c:v>
                </c:pt>
              </c:strCache>
            </c:strRef>
          </c:tx>
          <c:spPr>
            <a:ln w="28575" cap="rnd">
              <a:solidFill>
                <a:srgbClr val="00B050"/>
              </a:solidFill>
              <a:round/>
            </a:ln>
            <a:effectLst/>
          </c:spPr>
          <c:marker>
            <c:symbol val="none"/>
          </c:marker>
          <c:cat>
            <c:strRef>
              <c:f>'Task 3 Platform Performance '!$A$12:$A$78</c:f>
              <c:strCache>
                <c:ptCount val="67"/>
                <c:pt idx="0">
                  <c:v>08-09-2025</c:v>
                </c:pt>
                <c:pt idx="1">
                  <c:v>01-09-2025</c:v>
                </c:pt>
                <c:pt idx="2">
                  <c:v>25-08-2025</c:v>
                </c:pt>
                <c:pt idx="3">
                  <c:v>18-08-2025</c:v>
                </c:pt>
                <c:pt idx="4">
                  <c:v>11-08-2025</c:v>
                </c:pt>
                <c:pt idx="5">
                  <c:v>04-08-2025</c:v>
                </c:pt>
                <c:pt idx="6">
                  <c:v>28-07-2025</c:v>
                </c:pt>
                <c:pt idx="7">
                  <c:v>21-07-2025</c:v>
                </c:pt>
                <c:pt idx="8">
                  <c:v>14-07-2025</c:v>
                </c:pt>
                <c:pt idx="9">
                  <c:v>07-07-2025</c:v>
                </c:pt>
                <c:pt idx="10">
                  <c:v>30-06-2025</c:v>
                </c:pt>
                <c:pt idx="11">
                  <c:v>23-06-2025</c:v>
                </c:pt>
                <c:pt idx="12">
                  <c:v>16-06-2025</c:v>
                </c:pt>
                <c:pt idx="13">
                  <c:v>09-06-2025</c:v>
                </c:pt>
                <c:pt idx="14">
                  <c:v>02-06-2025</c:v>
                </c:pt>
                <c:pt idx="15">
                  <c:v>26-05-2025</c:v>
                </c:pt>
                <c:pt idx="16">
                  <c:v>19-05-2025</c:v>
                </c:pt>
                <c:pt idx="17">
                  <c:v>12-05-2025</c:v>
                </c:pt>
                <c:pt idx="18">
                  <c:v>05-05-2025</c:v>
                </c:pt>
                <c:pt idx="19">
                  <c:v>28-04-2025</c:v>
                </c:pt>
                <c:pt idx="20">
                  <c:v>21-04-2025</c:v>
                </c:pt>
                <c:pt idx="21">
                  <c:v>14-04-2025</c:v>
                </c:pt>
                <c:pt idx="22">
                  <c:v>07-04-2025</c:v>
                </c:pt>
                <c:pt idx="23">
                  <c:v>31-03-2025</c:v>
                </c:pt>
                <c:pt idx="24">
                  <c:v>24-03-2025</c:v>
                </c:pt>
                <c:pt idx="25">
                  <c:v>17-03-2025</c:v>
                </c:pt>
                <c:pt idx="26">
                  <c:v>10-03-2025</c:v>
                </c:pt>
                <c:pt idx="27">
                  <c:v>03-03-2025</c:v>
                </c:pt>
                <c:pt idx="28">
                  <c:v>24-02-2025</c:v>
                </c:pt>
                <c:pt idx="29">
                  <c:v>17-02-2025</c:v>
                </c:pt>
                <c:pt idx="30">
                  <c:v>10-02-2025</c:v>
                </c:pt>
                <c:pt idx="31">
                  <c:v>03-02-2025</c:v>
                </c:pt>
                <c:pt idx="32">
                  <c:v>27-01-2025</c:v>
                </c:pt>
                <c:pt idx="33">
                  <c:v>20-01-2025</c:v>
                </c:pt>
                <c:pt idx="34">
                  <c:v>13-01-2025</c:v>
                </c:pt>
                <c:pt idx="35">
                  <c:v>06-01-2025</c:v>
                </c:pt>
                <c:pt idx="36">
                  <c:v>30-12-2024</c:v>
                </c:pt>
                <c:pt idx="37">
                  <c:v>23-12-2024</c:v>
                </c:pt>
                <c:pt idx="38">
                  <c:v>16-12-2024</c:v>
                </c:pt>
                <c:pt idx="39">
                  <c:v>09-12-2024</c:v>
                </c:pt>
                <c:pt idx="40">
                  <c:v>02-12-2024</c:v>
                </c:pt>
                <c:pt idx="41">
                  <c:v>25-11-2024</c:v>
                </c:pt>
                <c:pt idx="42">
                  <c:v>18-11-2024</c:v>
                </c:pt>
                <c:pt idx="43">
                  <c:v>11-11-2024</c:v>
                </c:pt>
                <c:pt idx="44">
                  <c:v>04-11-2024</c:v>
                </c:pt>
                <c:pt idx="45">
                  <c:v>28-10-2024</c:v>
                </c:pt>
                <c:pt idx="46">
                  <c:v>21-10-2024</c:v>
                </c:pt>
                <c:pt idx="47">
                  <c:v>14-10-2024</c:v>
                </c:pt>
                <c:pt idx="48">
                  <c:v>07-10-2024</c:v>
                </c:pt>
                <c:pt idx="49">
                  <c:v>30-09-2024</c:v>
                </c:pt>
                <c:pt idx="50">
                  <c:v>23-09-2024</c:v>
                </c:pt>
                <c:pt idx="51">
                  <c:v>16-09-2024</c:v>
                </c:pt>
                <c:pt idx="52">
                  <c:v>09-09-2024</c:v>
                </c:pt>
                <c:pt idx="53">
                  <c:v>02-09-2024</c:v>
                </c:pt>
                <c:pt idx="54">
                  <c:v>26-08-2024</c:v>
                </c:pt>
                <c:pt idx="55">
                  <c:v>19-08-2024</c:v>
                </c:pt>
                <c:pt idx="56">
                  <c:v>12-08-2024</c:v>
                </c:pt>
                <c:pt idx="57">
                  <c:v>05-08-2024</c:v>
                </c:pt>
                <c:pt idx="58">
                  <c:v>29-07-2024</c:v>
                </c:pt>
                <c:pt idx="59">
                  <c:v>22-07-2024</c:v>
                </c:pt>
                <c:pt idx="60">
                  <c:v>15-07-2024</c:v>
                </c:pt>
                <c:pt idx="61">
                  <c:v>08-07-2024</c:v>
                </c:pt>
                <c:pt idx="62">
                  <c:v>01-07-2024</c:v>
                </c:pt>
                <c:pt idx="63">
                  <c:v>24-06-2024</c:v>
                </c:pt>
                <c:pt idx="64">
                  <c:v>17-06-2024</c:v>
                </c:pt>
                <c:pt idx="65">
                  <c:v>10-06-2024</c:v>
                </c:pt>
                <c:pt idx="66">
                  <c:v>03-06-2024</c:v>
                </c:pt>
              </c:strCache>
            </c:strRef>
          </c:cat>
          <c:val>
            <c:numRef>
              <c:f>'Task 3 Platform Performance '!$B$12:$B$78</c:f>
              <c:numCache>
                <c:formatCode>0.00%</c:formatCode>
                <c:ptCount val="67"/>
                <c:pt idx="0">
                  <c:v>9.1194199159233963E-3</c:v>
                </c:pt>
                <c:pt idx="1">
                  <c:v>3.1996007837554212E-3</c:v>
                </c:pt>
                <c:pt idx="2">
                  <c:v>6.6754281661347186E-3</c:v>
                </c:pt>
                <c:pt idx="3">
                  <c:v>2.1136549728017671E-3</c:v>
                </c:pt>
                <c:pt idx="4">
                  <c:v>2.6309839468870114E-3</c:v>
                </c:pt>
                <c:pt idx="5">
                  <c:v>7.6555792759910937E-3</c:v>
                </c:pt>
                <c:pt idx="6">
                  <c:v>4.669318378338316E-3</c:v>
                </c:pt>
                <c:pt idx="7">
                  <c:v>7.4721268454424738E-3</c:v>
                </c:pt>
                <c:pt idx="8">
                  <c:v>9.827213822894169E-3</c:v>
                </c:pt>
                <c:pt idx="9">
                  <c:v>3.3512794144334888E-3</c:v>
                </c:pt>
                <c:pt idx="10">
                  <c:v>2.2401847575057735E-3</c:v>
                </c:pt>
                <c:pt idx="11">
                  <c:v>1.1452908859898713E-3</c:v>
                </c:pt>
                <c:pt idx="12">
                  <c:v>2.4617598408673293E-3</c:v>
                </c:pt>
                <c:pt idx="13">
                  <c:v>1.1327664328719508E-2</c:v>
                </c:pt>
                <c:pt idx="14">
                  <c:v>1.2413909189098204E-3</c:v>
                </c:pt>
                <c:pt idx="15">
                  <c:v>3.8281206906062111E-3</c:v>
                </c:pt>
                <c:pt idx="16">
                  <c:v>7.872087032172511E-3</c:v>
                </c:pt>
                <c:pt idx="17">
                  <c:v>1.5731300645365684E-3</c:v>
                </c:pt>
                <c:pt idx="18">
                  <c:v>2.5976522198761379E-3</c:v>
                </c:pt>
                <c:pt idx="19">
                  <c:v>3.7778051067623862E-3</c:v>
                </c:pt>
                <c:pt idx="20">
                  <c:v>1.0988053215795403E-3</c:v>
                </c:pt>
                <c:pt idx="21">
                  <c:v>1.9961869935398759E-3</c:v>
                </c:pt>
                <c:pt idx="22">
                  <c:v>3.9209705941868752E-3</c:v>
                </c:pt>
                <c:pt idx="23">
                  <c:v>3.1475371965261584E-3</c:v>
                </c:pt>
                <c:pt idx="24">
                  <c:v>3.0555240088474996E-3</c:v>
                </c:pt>
                <c:pt idx="25">
                  <c:v>1.9052058737091724E-3</c:v>
                </c:pt>
                <c:pt idx="26">
                  <c:v>1.8468941678809856E-3</c:v>
                </c:pt>
                <c:pt idx="27">
                  <c:v>1.0984575217286749E-2</c:v>
                </c:pt>
                <c:pt idx="28">
                  <c:v>1.0896826083196401E-3</c:v>
                </c:pt>
                <c:pt idx="29">
                  <c:v>4.0817246978170664E-3</c:v>
                </c:pt>
                <c:pt idx="30">
                  <c:v>3.0798747854185599E-3</c:v>
                </c:pt>
                <c:pt idx="31">
                  <c:v>2.3334666742861497E-3</c:v>
                </c:pt>
                <c:pt idx="32">
                  <c:v>9.2415931314094918E-4</c:v>
                </c:pt>
                <c:pt idx="33">
                  <c:v>1.3487040845594743E-3</c:v>
                </c:pt>
                <c:pt idx="34">
                  <c:v>1.3793673813581599E-3</c:v>
                </c:pt>
                <c:pt idx="35">
                  <c:v>3.1809630491290049E-3</c:v>
                </c:pt>
                <c:pt idx="36">
                  <c:v>1.7165562473503519E-3</c:v>
                </c:pt>
                <c:pt idx="37">
                  <c:v>4.8653658034289241E-3</c:v>
                </c:pt>
                <c:pt idx="38">
                  <c:v>6.506669773402458E-3</c:v>
                </c:pt>
                <c:pt idx="39">
                  <c:v>1.7677812464738406E-3</c:v>
                </c:pt>
                <c:pt idx="40">
                  <c:v>4.7176696580273365E-3</c:v>
                </c:pt>
                <c:pt idx="41">
                  <c:v>1.2759550523566889E-3</c:v>
                </c:pt>
                <c:pt idx="42">
                  <c:v>2.741648314656868E-3</c:v>
                </c:pt>
                <c:pt idx="43">
                  <c:v>3.9281193313061976E-3</c:v>
                </c:pt>
                <c:pt idx="44">
                  <c:v>3.6781918718691762E-3</c:v>
                </c:pt>
                <c:pt idx="45">
                  <c:v>3.8051035059458792E-3</c:v>
                </c:pt>
                <c:pt idx="46">
                  <c:v>1.0915497012055407E-2</c:v>
                </c:pt>
                <c:pt idx="47">
                  <c:v>4.7398149771776844E-3</c:v>
                </c:pt>
                <c:pt idx="48">
                  <c:v>1.7507375647522346E-3</c:v>
                </c:pt>
                <c:pt idx="49">
                  <c:v>3.0190531054641659E-3</c:v>
                </c:pt>
                <c:pt idx="50">
                  <c:v>1.3784135240572171E-2</c:v>
                </c:pt>
                <c:pt idx="51">
                  <c:v>1.8947546272643525E-3</c:v>
                </c:pt>
                <c:pt idx="52">
                  <c:v>1.7288453918263881E-3</c:v>
                </c:pt>
                <c:pt idx="53">
                  <c:v>1.5378321642822803E-3</c:v>
                </c:pt>
                <c:pt idx="54">
                  <c:v>5.2519335029163131E-3</c:v>
                </c:pt>
                <c:pt idx="55">
                  <c:v>2.5711521816608116E-3</c:v>
                </c:pt>
                <c:pt idx="56">
                  <c:v>1.4216285431581398E-2</c:v>
                </c:pt>
                <c:pt idx="57">
                  <c:v>6.7435554935305723E-3</c:v>
                </c:pt>
                <c:pt idx="58">
                  <c:v>2.3089717768720206E-3</c:v>
                </c:pt>
                <c:pt idx="59">
                  <c:v>3.8800515380583087E-3</c:v>
                </c:pt>
                <c:pt idx="60">
                  <c:v>2.1159343412017798E-3</c:v>
                </c:pt>
                <c:pt idx="61">
                  <c:v>1.9610667968164271E-3</c:v>
                </c:pt>
                <c:pt idx="62">
                  <c:v>3.9974246283906723E-3</c:v>
                </c:pt>
                <c:pt idx="63">
                  <c:v>7.0194756038813571E-3</c:v>
                </c:pt>
                <c:pt idx="64">
                  <c:v>6.1532043593888509E-3</c:v>
                </c:pt>
                <c:pt idx="65">
                  <c:v>1.0035253152237385E-2</c:v>
                </c:pt>
                <c:pt idx="66">
                  <c:v>1.0709526179733787E-2</c:v>
                </c:pt>
              </c:numCache>
            </c:numRef>
          </c:val>
          <c:smooth val="0"/>
        </c:ser>
        <c:ser>
          <c:idx val="1"/>
          <c:order val="1"/>
          <c:tx>
            <c:strRef>
              <c:f>'Task 3 Platform Performance '!$C$10:$C$11</c:f>
              <c:strCache>
                <c:ptCount val="1"/>
                <c:pt idx="0">
                  <c:v>Twitter</c:v>
                </c:pt>
              </c:strCache>
            </c:strRef>
          </c:tx>
          <c:spPr>
            <a:ln w="28575" cap="rnd">
              <a:solidFill>
                <a:schemeClr val="accent2"/>
              </a:solidFill>
              <a:round/>
            </a:ln>
            <a:effectLst/>
          </c:spPr>
          <c:marker>
            <c:symbol val="none"/>
          </c:marker>
          <c:cat>
            <c:strRef>
              <c:f>'Task 3 Platform Performance '!$A$12:$A$78</c:f>
              <c:strCache>
                <c:ptCount val="67"/>
                <c:pt idx="0">
                  <c:v>08-09-2025</c:v>
                </c:pt>
                <c:pt idx="1">
                  <c:v>01-09-2025</c:v>
                </c:pt>
                <c:pt idx="2">
                  <c:v>25-08-2025</c:v>
                </c:pt>
                <c:pt idx="3">
                  <c:v>18-08-2025</c:v>
                </c:pt>
                <c:pt idx="4">
                  <c:v>11-08-2025</c:v>
                </c:pt>
                <c:pt idx="5">
                  <c:v>04-08-2025</c:v>
                </c:pt>
                <c:pt idx="6">
                  <c:v>28-07-2025</c:v>
                </c:pt>
                <c:pt idx="7">
                  <c:v>21-07-2025</c:v>
                </c:pt>
                <c:pt idx="8">
                  <c:v>14-07-2025</c:v>
                </c:pt>
                <c:pt idx="9">
                  <c:v>07-07-2025</c:v>
                </c:pt>
                <c:pt idx="10">
                  <c:v>30-06-2025</c:v>
                </c:pt>
                <c:pt idx="11">
                  <c:v>23-06-2025</c:v>
                </c:pt>
                <c:pt idx="12">
                  <c:v>16-06-2025</c:v>
                </c:pt>
                <c:pt idx="13">
                  <c:v>09-06-2025</c:v>
                </c:pt>
                <c:pt idx="14">
                  <c:v>02-06-2025</c:v>
                </c:pt>
                <c:pt idx="15">
                  <c:v>26-05-2025</c:v>
                </c:pt>
                <c:pt idx="16">
                  <c:v>19-05-2025</c:v>
                </c:pt>
                <c:pt idx="17">
                  <c:v>12-05-2025</c:v>
                </c:pt>
                <c:pt idx="18">
                  <c:v>05-05-2025</c:v>
                </c:pt>
                <c:pt idx="19">
                  <c:v>28-04-2025</c:v>
                </c:pt>
                <c:pt idx="20">
                  <c:v>21-04-2025</c:v>
                </c:pt>
                <c:pt idx="21">
                  <c:v>14-04-2025</c:v>
                </c:pt>
                <c:pt idx="22">
                  <c:v>07-04-2025</c:v>
                </c:pt>
                <c:pt idx="23">
                  <c:v>31-03-2025</c:v>
                </c:pt>
                <c:pt idx="24">
                  <c:v>24-03-2025</c:v>
                </c:pt>
                <c:pt idx="25">
                  <c:v>17-03-2025</c:v>
                </c:pt>
                <c:pt idx="26">
                  <c:v>10-03-2025</c:v>
                </c:pt>
                <c:pt idx="27">
                  <c:v>03-03-2025</c:v>
                </c:pt>
                <c:pt idx="28">
                  <c:v>24-02-2025</c:v>
                </c:pt>
                <c:pt idx="29">
                  <c:v>17-02-2025</c:v>
                </c:pt>
                <c:pt idx="30">
                  <c:v>10-02-2025</c:v>
                </c:pt>
                <c:pt idx="31">
                  <c:v>03-02-2025</c:v>
                </c:pt>
                <c:pt idx="32">
                  <c:v>27-01-2025</c:v>
                </c:pt>
                <c:pt idx="33">
                  <c:v>20-01-2025</c:v>
                </c:pt>
                <c:pt idx="34">
                  <c:v>13-01-2025</c:v>
                </c:pt>
                <c:pt idx="35">
                  <c:v>06-01-2025</c:v>
                </c:pt>
                <c:pt idx="36">
                  <c:v>30-12-2024</c:v>
                </c:pt>
                <c:pt idx="37">
                  <c:v>23-12-2024</c:v>
                </c:pt>
                <c:pt idx="38">
                  <c:v>16-12-2024</c:v>
                </c:pt>
                <c:pt idx="39">
                  <c:v>09-12-2024</c:v>
                </c:pt>
                <c:pt idx="40">
                  <c:v>02-12-2024</c:v>
                </c:pt>
                <c:pt idx="41">
                  <c:v>25-11-2024</c:v>
                </c:pt>
                <c:pt idx="42">
                  <c:v>18-11-2024</c:v>
                </c:pt>
                <c:pt idx="43">
                  <c:v>11-11-2024</c:v>
                </c:pt>
                <c:pt idx="44">
                  <c:v>04-11-2024</c:v>
                </c:pt>
                <c:pt idx="45">
                  <c:v>28-10-2024</c:v>
                </c:pt>
                <c:pt idx="46">
                  <c:v>21-10-2024</c:v>
                </c:pt>
                <c:pt idx="47">
                  <c:v>14-10-2024</c:v>
                </c:pt>
                <c:pt idx="48">
                  <c:v>07-10-2024</c:v>
                </c:pt>
                <c:pt idx="49">
                  <c:v>30-09-2024</c:v>
                </c:pt>
                <c:pt idx="50">
                  <c:v>23-09-2024</c:v>
                </c:pt>
                <c:pt idx="51">
                  <c:v>16-09-2024</c:v>
                </c:pt>
                <c:pt idx="52">
                  <c:v>09-09-2024</c:v>
                </c:pt>
                <c:pt idx="53">
                  <c:v>02-09-2024</c:v>
                </c:pt>
                <c:pt idx="54">
                  <c:v>26-08-2024</c:v>
                </c:pt>
                <c:pt idx="55">
                  <c:v>19-08-2024</c:v>
                </c:pt>
                <c:pt idx="56">
                  <c:v>12-08-2024</c:v>
                </c:pt>
                <c:pt idx="57">
                  <c:v>05-08-2024</c:v>
                </c:pt>
                <c:pt idx="58">
                  <c:v>29-07-2024</c:v>
                </c:pt>
                <c:pt idx="59">
                  <c:v>22-07-2024</c:v>
                </c:pt>
                <c:pt idx="60">
                  <c:v>15-07-2024</c:v>
                </c:pt>
                <c:pt idx="61">
                  <c:v>08-07-2024</c:v>
                </c:pt>
                <c:pt idx="62">
                  <c:v>01-07-2024</c:v>
                </c:pt>
                <c:pt idx="63">
                  <c:v>24-06-2024</c:v>
                </c:pt>
                <c:pt idx="64">
                  <c:v>17-06-2024</c:v>
                </c:pt>
                <c:pt idx="65">
                  <c:v>10-06-2024</c:v>
                </c:pt>
                <c:pt idx="66">
                  <c:v>03-06-2024</c:v>
                </c:pt>
              </c:strCache>
            </c:strRef>
          </c:cat>
          <c:val>
            <c:numRef>
              <c:f>'Task 3 Platform Performance '!$C$12:$C$78</c:f>
              <c:numCache>
                <c:formatCode>0.00%</c:formatCode>
                <c:ptCount val="67"/>
                <c:pt idx="0">
                  <c:v>1.7666324429429343E-3</c:v>
                </c:pt>
                <c:pt idx="1">
                  <c:v>3.6710630280192063E-3</c:v>
                </c:pt>
                <c:pt idx="2">
                  <c:v>3.9399561477483558E-3</c:v>
                </c:pt>
                <c:pt idx="3">
                  <c:v>1.823480339105339E-3</c:v>
                </c:pt>
                <c:pt idx="4">
                  <c:v>6.0271996703070265E-3</c:v>
                </c:pt>
                <c:pt idx="5">
                  <c:v>1.8650998332996943E-3</c:v>
                </c:pt>
                <c:pt idx="6">
                  <c:v>1.0981480529715098E-2</c:v>
                </c:pt>
                <c:pt idx="7">
                  <c:v>3.1852844079273504E-3</c:v>
                </c:pt>
                <c:pt idx="8">
                  <c:v>1.5181988769584942E-3</c:v>
                </c:pt>
                <c:pt idx="9">
                  <c:v>2.6668250067122413E-3</c:v>
                </c:pt>
                <c:pt idx="10">
                  <c:v>1.208595326242385E-2</c:v>
                </c:pt>
                <c:pt idx="11">
                  <c:v>2.1127444317144686E-3</c:v>
                </c:pt>
                <c:pt idx="12">
                  <c:v>5.1721119722456512E-3</c:v>
                </c:pt>
                <c:pt idx="13">
                  <c:v>1.5942232850377457E-3</c:v>
                </c:pt>
                <c:pt idx="14">
                  <c:v>9.6542972769051369E-3</c:v>
                </c:pt>
                <c:pt idx="15">
                  <c:v>3.7470607409939207E-3</c:v>
                </c:pt>
                <c:pt idx="16">
                  <c:v>4.1466368206671319E-3</c:v>
                </c:pt>
                <c:pt idx="17">
                  <c:v>2.6547884187082403E-3</c:v>
                </c:pt>
                <c:pt idx="18">
                  <c:v>2.5507605115104954E-3</c:v>
                </c:pt>
                <c:pt idx="19">
                  <c:v>2.0509887813384732E-3</c:v>
                </c:pt>
                <c:pt idx="20">
                  <c:v>1.4351099955706482E-3</c:v>
                </c:pt>
                <c:pt idx="21">
                  <c:v>6.2397756485160086E-3</c:v>
                </c:pt>
                <c:pt idx="22">
                  <c:v>2.9814935695005556E-3</c:v>
                </c:pt>
                <c:pt idx="23">
                  <c:v>9.0792625187990864E-3</c:v>
                </c:pt>
                <c:pt idx="24">
                  <c:v>6.5302778380201933E-3</c:v>
                </c:pt>
                <c:pt idx="25">
                  <c:v>1.4348198375413667E-3</c:v>
                </c:pt>
                <c:pt idx="26">
                  <c:v>5.1540047386073422E-3</c:v>
                </c:pt>
                <c:pt idx="27">
                  <c:v>7.8900723125911749E-3</c:v>
                </c:pt>
                <c:pt idx="28">
                  <c:v>3.7818873758696555E-3</c:v>
                </c:pt>
                <c:pt idx="29">
                  <c:v>2.3280135960016494E-3</c:v>
                </c:pt>
                <c:pt idx="30">
                  <c:v>1.2038244241634072E-2</c:v>
                </c:pt>
                <c:pt idx="31">
                  <c:v>6.8852027382833069E-3</c:v>
                </c:pt>
                <c:pt idx="32">
                  <c:v>5.1939513477975013E-3</c:v>
                </c:pt>
                <c:pt idx="33">
                  <c:v>2.0100280520398473E-3</c:v>
                </c:pt>
                <c:pt idx="34">
                  <c:v>3.960732004118693E-3</c:v>
                </c:pt>
                <c:pt idx="35">
                  <c:v>8.2282093543773697E-3</c:v>
                </c:pt>
                <c:pt idx="36">
                  <c:v>3.7157691133055076E-3</c:v>
                </c:pt>
                <c:pt idx="37">
                  <c:v>6.4046760353189906E-3</c:v>
                </c:pt>
                <c:pt idx="38">
                  <c:v>2.7987701840030041E-3</c:v>
                </c:pt>
                <c:pt idx="39">
                  <c:v>3.8344284334702996E-3</c:v>
                </c:pt>
                <c:pt idx="40">
                  <c:v>7.8261885293774095E-3</c:v>
                </c:pt>
                <c:pt idx="41">
                  <c:v>4.2439230501565839E-3</c:v>
                </c:pt>
                <c:pt idx="42">
                  <c:v>5.0288483327232481E-3</c:v>
                </c:pt>
                <c:pt idx="43">
                  <c:v>2.6275238057607967E-3</c:v>
                </c:pt>
                <c:pt idx="44">
                  <c:v>3.9842122008616216E-3</c:v>
                </c:pt>
                <c:pt idx="45">
                  <c:v>1.5788005199153436E-3</c:v>
                </c:pt>
                <c:pt idx="46">
                  <c:v>5.3980915408646862E-3</c:v>
                </c:pt>
                <c:pt idx="47">
                  <c:v>1.8353650184906177E-3</c:v>
                </c:pt>
                <c:pt idx="48">
                  <c:v>2.8850860838862216E-3</c:v>
                </c:pt>
                <c:pt idx="49">
                  <c:v>4.6946006530167259E-3</c:v>
                </c:pt>
                <c:pt idx="50">
                  <c:v>3.305365562946797E-3</c:v>
                </c:pt>
                <c:pt idx="51">
                  <c:v>3.4796436801746559E-3</c:v>
                </c:pt>
                <c:pt idx="52">
                  <c:v>4.7123181781018424E-3</c:v>
                </c:pt>
                <c:pt idx="53">
                  <c:v>2.6618404566337186E-3</c:v>
                </c:pt>
                <c:pt idx="54">
                  <c:v>1.1090510417460359E-3</c:v>
                </c:pt>
                <c:pt idx="55">
                  <c:v>6.2169419806330862E-3</c:v>
                </c:pt>
                <c:pt idx="56">
                  <c:v>1.031124193757846E-2</c:v>
                </c:pt>
                <c:pt idx="57">
                  <c:v>4.3839826448522105E-3</c:v>
                </c:pt>
                <c:pt idx="58">
                  <c:v>5.2125958475504573E-3</c:v>
                </c:pt>
                <c:pt idx="59">
                  <c:v>1.3666228646517741E-3</c:v>
                </c:pt>
                <c:pt idx="60">
                  <c:v>4.1633646660018432E-3</c:v>
                </c:pt>
                <c:pt idx="61">
                  <c:v>1.7836234485988603E-2</c:v>
                </c:pt>
                <c:pt idx="62">
                  <c:v>2.7265062228494967E-3</c:v>
                </c:pt>
                <c:pt idx="63">
                  <c:v>8.7155963302752298E-3</c:v>
                </c:pt>
                <c:pt idx="64">
                  <c:v>5.2165710498603361E-3</c:v>
                </c:pt>
                <c:pt idx="65">
                  <c:v>4.247465810484582E-3</c:v>
                </c:pt>
                <c:pt idx="66">
                  <c:v>3.9875766588582107E-3</c:v>
                </c:pt>
              </c:numCache>
            </c:numRef>
          </c:val>
          <c:smooth val="0"/>
        </c:ser>
        <c:ser>
          <c:idx val="2"/>
          <c:order val="2"/>
          <c:tx>
            <c:strRef>
              <c:f>'Task 3 Platform Performance '!$D$10:$D$11</c:f>
              <c:strCache>
                <c:ptCount val="1"/>
                <c:pt idx="0">
                  <c:v>YouTube</c:v>
                </c:pt>
              </c:strCache>
            </c:strRef>
          </c:tx>
          <c:spPr>
            <a:ln w="28575" cap="rnd">
              <a:solidFill>
                <a:schemeClr val="accent3"/>
              </a:solidFill>
              <a:round/>
            </a:ln>
            <a:effectLst/>
          </c:spPr>
          <c:marker>
            <c:symbol val="none"/>
          </c:marker>
          <c:cat>
            <c:strRef>
              <c:f>'Task 3 Platform Performance '!$A$12:$A$78</c:f>
              <c:strCache>
                <c:ptCount val="67"/>
                <c:pt idx="0">
                  <c:v>08-09-2025</c:v>
                </c:pt>
                <c:pt idx="1">
                  <c:v>01-09-2025</c:v>
                </c:pt>
                <c:pt idx="2">
                  <c:v>25-08-2025</c:v>
                </c:pt>
                <c:pt idx="3">
                  <c:v>18-08-2025</c:v>
                </c:pt>
                <c:pt idx="4">
                  <c:v>11-08-2025</c:v>
                </c:pt>
                <c:pt idx="5">
                  <c:v>04-08-2025</c:v>
                </c:pt>
                <c:pt idx="6">
                  <c:v>28-07-2025</c:v>
                </c:pt>
                <c:pt idx="7">
                  <c:v>21-07-2025</c:v>
                </c:pt>
                <c:pt idx="8">
                  <c:v>14-07-2025</c:v>
                </c:pt>
                <c:pt idx="9">
                  <c:v>07-07-2025</c:v>
                </c:pt>
                <c:pt idx="10">
                  <c:v>30-06-2025</c:v>
                </c:pt>
                <c:pt idx="11">
                  <c:v>23-06-2025</c:v>
                </c:pt>
                <c:pt idx="12">
                  <c:v>16-06-2025</c:v>
                </c:pt>
                <c:pt idx="13">
                  <c:v>09-06-2025</c:v>
                </c:pt>
                <c:pt idx="14">
                  <c:v>02-06-2025</c:v>
                </c:pt>
                <c:pt idx="15">
                  <c:v>26-05-2025</c:v>
                </c:pt>
                <c:pt idx="16">
                  <c:v>19-05-2025</c:v>
                </c:pt>
                <c:pt idx="17">
                  <c:v>12-05-2025</c:v>
                </c:pt>
                <c:pt idx="18">
                  <c:v>05-05-2025</c:v>
                </c:pt>
                <c:pt idx="19">
                  <c:v>28-04-2025</c:v>
                </c:pt>
                <c:pt idx="20">
                  <c:v>21-04-2025</c:v>
                </c:pt>
                <c:pt idx="21">
                  <c:v>14-04-2025</c:v>
                </c:pt>
                <c:pt idx="22">
                  <c:v>07-04-2025</c:v>
                </c:pt>
                <c:pt idx="23">
                  <c:v>31-03-2025</c:v>
                </c:pt>
                <c:pt idx="24">
                  <c:v>24-03-2025</c:v>
                </c:pt>
                <c:pt idx="25">
                  <c:v>17-03-2025</c:v>
                </c:pt>
                <c:pt idx="26">
                  <c:v>10-03-2025</c:v>
                </c:pt>
                <c:pt idx="27">
                  <c:v>03-03-2025</c:v>
                </c:pt>
                <c:pt idx="28">
                  <c:v>24-02-2025</c:v>
                </c:pt>
                <c:pt idx="29">
                  <c:v>17-02-2025</c:v>
                </c:pt>
                <c:pt idx="30">
                  <c:v>10-02-2025</c:v>
                </c:pt>
                <c:pt idx="31">
                  <c:v>03-02-2025</c:v>
                </c:pt>
                <c:pt idx="32">
                  <c:v>27-01-2025</c:v>
                </c:pt>
                <c:pt idx="33">
                  <c:v>20-01-2025</c:v>
                </c:pt>
                <c:pt idx="34">
                  <c:v>13-01-2025</c:v>
                </c:pt>
                <c:pt idx="35">
                  <c:v>06-01-2025</c:v>
                </c:pt>
                <c:pt idx="36">
                  <c:v>30-12-2024</c:v>
                </c:pt>
                <c:pt idx="37">
                  <c:v>23-12-2024</c:v>
                </c:pt>
                <c:pt idx="38">
                  <c:v>16-12-2024</c:v>
                </c:pt>
                <c:pt idx="39">
                  <c:v>09-12-2024</c:v>
                </c:pt>
                <c:pt idx="40">
                  <c:v>02-12-2024</c:v>
                </c:pt>
                <c:pt idx="41">
                  <c:v>25-11-2024</c:v>
                </c:pt>
                <c:pt idx="42">
                  <c:v>18-11-2024</c:v>
                </c:pt>
                <c:pt idx="43">
                  <c:v>11-11-2024</c:v>
                </c:pt>
                <c:pt idx="44">
                  <c:v>04-11-2024</c:v>
                </c:pt>
                <c:pt idx="45">
                  <c:v>28-10-2024</c:v>
                </c:pt>
                <c:pt idx="46">
                  <c:v>21-10-2024</c:v>
                </c:pt>
                <c:pt idx="47">
                  <c:v>14-10-2024</c:v>
                </c:pt>
                <c:pt idx="48">
                  <c:v>07-10-2024</c:v>
                </c:pt>
                <c:pt idx="49">
                  <c:v>30-09-2024</c:v>
                </c:pt>
                <c:pt idx="50">
                  <c:v>23-09-2024</c:v>
                </c:pt>
                <c:pt idx="51">
                  <c:v>16-09-2024</c:v>
                </c:pt>
                <c:pt idx="52">
                  <c:v>09-09-2024</c:v>
                </c:pt>
                <c:pt idx="53">
                  <c:v>02-09-2024</c:v>
                </c:pt>
                <c:pt idx="54">
                  <c:v>26-08-2024</c:v>
                </c:pt>
                <c:pt idx="55">
                  <c:v>19-08-2024</c:v>
                </c:pt>
                <c:pt idx="56">
                  <c:v>12-08-2024</c:v>
                </c:pt>
                <c:pt idx="57">
                  <c:v>05-08-2024</c:v>
                </c:pt>
                <c:pt idx="58">
                  <c:v>29-07-2024</c:v>
                </c:pt>
                <c:pt idx="59">
                  <c:v>22-07-2024</c:v>
                </c:pt>
                <c:pt idx="60">
                  <c:v>15-07-2024</c:v>
                </c:pt>
                <c:pt idx="61">
                  <c:v>08-07-2024</c:v>
                </c:pt>
                <c:pt idx="62">
                  <c:v>01-07-2024</c:v>
                </c:pt>
                <c:pt idx="63">
                  <c:v>24-06-2024</c:v>
                </c:pt>
                <c:pt idx="64">
                  <c:v>17-06-2024</c:v>
                </c:pt>
                <c:pt idx="65">
                  <c:v>10-06-2024</c:v>
                </c:pt>
                <c:pt idx="66">
                  <c:v>03-06-2024</c:v>
                </c:pt>
              </c:strCache>
            </c:strRef>
          </c:cat>
          <c:val>
            <c:numRef>
              <c:f>'Task 3 Platform Performance '!$D$12:$D$78</c:f>
              <c:numCache>
                <c:formatCode>0.00%</c:formatCode>
                <c:ptCount val="67"/>
                <c:pt idx="1">
                  <c:v>7.9729048800556194E-4</c:v>
                </c:pt>
                <c:pt idx="2">
                  <c:v>3.5959985838152297E-3</c:v>
                </c:pt>
                <c:pt idx="3">
                  <c:v>5.5270456327116777E-3</c:v>
                </c:pt>
                <c:pt idx="4">
                  <c:v>6.6042394102916796E-3</c:v>
                </c:pt>
                <c:pt idx="5">
                  <c:v>3.9299078763469142E-3</c:v>
                </c:pt>
                <c:pt idx="6">
                  <c:v>1.7084647221127316E-2</c:v>
                </c:pt>
                <c:pt idx="7">
                  <c:v>3.2454858113287115E-3</c:v>
                </c:pt>
                <c:pt idx="8">
                  <c:v>2.6388003437092886E-3</c:v>
                </c:pt>
                <c:pt idx="9">
                  <c:v>3.1694785125105812E-3</c:v>
                </c:pt>
                <c:pt idx="10">
                  <c:v>6.4765009508285796E-3</c:v>
                </c:pt>
                <c:pt idx="11">
                  <c:v>3.3553365983339462E-3</c:v>
                </c:pt>
                <c:pt idx="12">
                  <c:v>5.4388566363352828E-3</c:v>
                </c:pt>
                <c:pt idx="13">
                  <c:v>4.1211031333606603E-3</c:v>
                </c:pt>
                <c:pt idx="14">
                  <c:v>4.9181461441388493E-3</c:v>
                </c:pt>
                <c:pt idx="15">
                  <c:v>2.005770990217468E-3</c:v>
                </c:pt>
                <c:pt idx="16">
                  <c:v>7.5491490264485411E-3</c:v>
                </c:pt>
                <c:pt idx="17">
                  <c:v>1.4915157677349929E-3</c:v>
                </c:pt>
                <c:pt idx="18">
                  <c:v>1.9790880672631238E-3</c:v>
                </c:pt>
                <c:pt idx="19">
                  <c:v>2.9339148299662998E-3</c:v>
                </c:pt>
                <c:pt idx="20">
                  <c:v>3.2565414723670183E-3</c:v>
                </c:pt>
                <c:pt idx="21">
                  <c:v>4.6142223427541986E-3</c:v>
                </c:pt>
                <c:pt idx="22">
                  <c:v>3.6902252215116576E-3</c:v>
                </c:pt>
                <c:pt idx="23">
                  <c:v>6.7594964249334932E-3</c:v>
                </c:pt>
                <c:pt idx="24">
                  <c:v>3.2720751898231166E-3</c:v>
                </c:pt>
                <c:pt idx="25">
                  <c:v>4.2810298761233904E-3</c:v>
                </c:pt>
                <c:pt idx="26">
                  <c:v>2.2450476889214967E-3</c:v>
                </c:pt>
                <c:pt idx="27">
                  <c:v>1.7409229805475531E-3</c:v>
                </c:pt>
                <c:pt idx="28">
                  <c:v>1.8949662755644234E-3</c:v>
                </c:pt>
                <c:pt idx="29">
                  <c:v>1.0583174536168594E-3</c:v>
                </c:pt>
                <c:pt idx="30">
                  <c:v>1.9357425118836263E-3</c:v>
                </c:pt>
                <c:pt idx="31">
                  <c:v>1.1697559866836308E-3</c:v>
                </c:pt>
                <c:pt idx="32">
                  <c:v>3.685623501752981E-3</c:v>
                </c:pt>
                <c:pt idx="33">
                  <c:v>2.5280739012313877E-3</c:v>
                </c:pt>
                <c:pt idx="34">
                  <c:v>2.9568975321278288E-3</c:v>
                </c:pt>
                <c:pt idx="35">
                  <c:v>2.8057492705051896E-3</c:v>
                </c:pt>
                <c:pt idx="36">
                  <c:v>4.3562203906807708E-3</c:v>
                </c:pt>
                <c:pt idx="37">
                  <c:v>2.60081206532016E-3</c:v>
                </c:pt>
                <c:pt idx="38">
                  <c:v>7.8332145402708487E-3</c:v>
                </c:pt>
                <c:pt idx="39">
                  <c:v>3.2086280175382597E-3</c:v>
                </c:pt>
                <c:pt idx="40">
                  <c:v>2.0028848369668811E-3</c:v>
                </c:pt>
                <c:pt idx="41">
                  <c:v>5.8524314976443207E-3</c:v>
                </c:pt>
                <c:pt idx="42">
                  <c:v>2.0449775112443779E-3</c:v>
                </c:pt>
                <c:pt idx="43">
                  <c:v>4.6556860536239985E-3</c:v>
                </c:pt>
                <c:pt idx="44">
                  <c:v>8.0175996088975802E-3</c:v>
                </c:pt>
                <c:pt idx="45">
                  <c:v>3.6774665438586984E-3</c:v>
                </c:pt>
                <c:pt idx="46">
                  <c:v>7.2173750633688196E-3</c:v>
                </c:pt>
                <c:pt idx="47">
                  <c:v>3.8177207407976638E-3</c:v>
                </c:pt>
                <c:pt idx="48">
                  <c:v>8.0878372132944243E-3</c:v>
                </c:pt>
                <c:pt idx="49">
                  <c:v>3.2768049617799048E-3</c:v>
                </c:pt>
                <c:pt idx="50">
                  <c:v>1.3748256088824177E-3</c:v>
                </c:pt>
                <c:pt idx="51">
                  <c:v>2.2541306944976669E-3</c:v>
                </c:pt>
                <c:pt idx="52">
                  <c:v>2.3319170287838973E-3</c:v>
                </c:pt>
                <c:pt idx="53">
                  <c:v>2.8775171297394605E-3</c:v>
                </c:pt>
                <c:pt idx="54">
                  <c:v>4.3018845648676966E-3</c:v>
                </c:pt>
                <c:pt idx="55">
                  <c:v>6.1138546368952043E-3</c:v>
                </c:pt>
                <c:pt idx="56">
                  <c:v>3.2668165162148292E-3</c:v>
                </c:pt>
                <c:pt idx="57">
                  <c:v>2.3829134417695176E-3</c:v>
                </c:pt>
                <c:pt idx="58">
                  <c:v>2.4107127645679174E-3</c:v>
                </c:pt>
                <c:pt idx="59">
                  <c:v>2.9558125725816196E-3</c:v>
                </c:pt>
                <c:pt idx="60">
                  <c:v>4.4074791828765565E-3</c:v>
                </c:pt>
                <c:pt idx="61">
                  <c:v>5.7836390843520723E-3</c:v>
                </c:pt>
                <c:pt idx="62">
                  <c:v>3.7184126339477423E-3</c:v>
                </c:pt>
                <c:pt idx="63">
                  <c:v>5.5548942586200059E-3</c:v>
                </c:pt>
                <c:pt idx="64">
                  <c:v>5.1990991422684362E-3</c:v>
                </c:pt>
                <c:pt idx="65">
                  <c:v>1.1541771253329111E-3</c:v>
                </c:pt>
                <c:pt idx="66">
                  <c:v>3.176300905893983E-3</c:v>
                </c:pt>
              </c:numCache>
            </c:numRef>
          </c:val>
          <c:smooth val="0"/>
        </c:ser>
        <c:dLbls>
          <c:showLegendKey val="0"/>
          <c:showVal val="0"/>
          <c:showCatName val="0"/>
          <c:showSerName val="0"/>
          <c:showPercent val="0"/>
          <c:showBubbleSize val="0"/>
        </c:dLbls>
        <c:smooth val="0"/>
        <c:axId val="2044060832"/>
        <c:axId val="2044068448"/>
      </c:lineChart>
      <c:catAx>
        <c:axId val="204406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a:t>
                </a:r>
                <a:r>
                  <a:rPr lang="en-IN" baseline="0"/>
                  <a:t> date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68448"/>
        <c:crosses val="autoZero"/>
        <c:auto val="1"/>
        <c:lblAlgn val="ctr"/>
        <c:lblOffset val="100"/>
        <c:noMultiLvlLbl val="0"/>
      </c:catAx>
      <c:valAx>
        <c:axId val="2044068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Follower</a:t>
                </a:r>
                <a:r>
                  <a:rPr lang="en-IN" baseline="0"/>
                  <a:t> </a:t>
                </a:r>
                <a:r>
                  <a:rPr lang="en-IN"/>
                  <a:t>Growth</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6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!PivotTable9</c:name>
    <c:fmtId val="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Ad_spend By platform</a:t>
            </a:r>
            <a:endParaRPr lang="en-IN">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11889215935288E-2"/>
          <c:y val="0.16366462652867081"/>
          <c:w val="0.88233700388969405"/>
          <c:h val="0.68566831711538245"/>
        </c:manualLayout>
      </c:layout>
      <c:barChart>
        <c:barDir val="col"/>
        <c:grouping val="clustered"/>
        <c:varyColors val="0"/>
        <c:ser>
          <c:idx val="0"/>
          <c:order val="0"/>
          <c:tx>
            <c:strRef>
              <c:f>'Task 3 Platform Performance '!$B$83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Platform Performance '!$A$84:$A$86</c:f>
              <c:strCache>
                <c:ptCount val="3"/>
                <c:pt idx="0">
                  <c:v>Instagram</c:v>
                </c:pt>
                <c:pt idx="1">
                  <c:v>Twitter</c:v>
                </c:pt>
                <c:pt idx="2">
                  <c:v>YouTube</c:v>
                </c:pt>
              </c:strCache>
            </c:strRef>
          </c:cat>
          <c:val>
            <c:numRef>
              <c:f>'Task 3 Platform Performance '!$B$84:$B$86</c:f>
              <c:numCache>
                <c:formatCode>0</c:formatCode>
                <c:ptCount val="3"/>
                <c:pt idx="0">
                  <c:v>15461.820895522387</c:v>
                </c:pt>
                <c:pt idx="1">
                  <c:v>16629.910447761195</c:v>
                </c:pt>
                <c:pt idx="2">
                  <c:v>16148.212121212122</c:v>
                </c:pt>
              </c:numCache>
            </c:numRef>
          </c:val>
        </c:ser>
        <c:dLbls>
          <c:dLblPos val="outEnd"/>
          <c:showLegendKey val="0"/>
          <c:showVal val="1"/>
          <c:showCatName val="0"/>
          <c:showSerName val="0"/>
          <c:showPercent val="0"/>
          <c:showBubbleSize val="0"/>
        </c:dLbls>
        <c:gapWidth val="219"/>
        <c:overlap val="-27"/>
        <c:axId val="2044065728"/>
        <c:axId val="2044074976"/>
      </c:barChart>
      <c:catAx>
        <c:axId val="2044065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74976"/>
        <c:crosses val="autoZero"/>
        <c:auto val="1"/>
        <c:lblAlgn val="ctr"/>
        <c:lblOffset val="100"/>
        <c:noMultiLvlLbl val="0"/>
      </c:catAx>
      <c:valAx>
        <c:axId val="204407497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Ad_Spend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044065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t>
            </a:r>
            <a:r>
              <a:rPr lang="en-US" baseline="0"/>
              <a:t> rate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8931290473566E-2"/>
          <c:y val="0.17969961240310078"/>
          <c:w val="0.86002618747148707"/>
          <c:h val="0.60516808582066772"/>
        </c:manualLayout>
      </c:layout>
      <c:barChart>
        <c:barDir val="col"/>
        <c:grouping val="clustered"/>
        <c:varyColors val="0"/>
        <c:ser>
          <c:idx val="0"/>
          <c:order val="0"/>
          <c:tx>
            <c:strRef>
              <c:f>'Task 3 Platform Performance '!$B$89</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Platform Performance '!$A$90:$A$91</c:f>
              <c:strCache>
                <c:ptCount val="2"/>
                <c:pt idx="0">
                  <c:v>Instagram</c:v>
                </c:pt>
                <c:pt idx="1">
                  <c:v>Twitter</c:v>
                </c:pt>
              </c:strCache>
            </c:strRef>
          </c:cat>
          <c:val>
            <c:numRef>
              <c:f>'Task 3 Platform Performance '!$B$90:$B$91</c:f>
              <c:numCache>
                <c:formatCode>0.00%</c:formatCode>
                <c:ptCount val="2"/>
                <c:pt idx="0">
                  <c:v>8.8046020093982283E-2</c:v>
                </c:pt>
                <c:pt idx="1">
                  <c:v>0.1042061943385596</c:v>
                </c:pt>
              </c:numCache>
            </c:numRef>
          </c:val>
        </c:ser>
        <c:dLbls>
          <c:dLblPos val="outEnd"/>
          <c:showLegendKey val="0"/>
          <c:showVal val="1"/>
          <c:showCatName val="0"/>
          <c:showSerName val="0"/>
          <c:showPercent val="0"/>
          <c:showBubbleSize val="0"/>
        </c:dLbls>
        <c:gapWidth val="219"/>
        <c:overlap val="-27"/>
        <c:axId val="2044071712"/>
        <c:axId val="2044062464"/>
      </c:barChart>
      <c:catAx>
        <c:axId val="204407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62464"/>
        <c:crosses val="autoZero"/>
        <c:auto val="1"/>
        <c:lblAlgn val="ctr"/>
        <c:lblOffset val="100"/>
        <c:noMultiLvlLbl val="0"/>
      </c:catAx>
      <c:valAx>
        <c:axId val="20440624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Engagemnet</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044071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Analysis.xlsx]Task4 Hashtag and content...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Content type by platform by avg. eng.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'Task4 Hashtag and content... '!$B$19:$B$20</c:f>
              <c:strCache>
                <c:ptCount val="1"/>
                <c:pt idx="0">
                  <c:v>Story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'!$A$21:$A$22</c:f>
              <c:strCache>
                <c:ptCount val="2"/>
                <c:pt idx="0">
                  <c:v>Instagram</c:v>
                </c:pt>
                <c:pt idx="1">
                  <c:v>Twitter</c:v>
                </c:pt>
              </c:strCache>
            </c:strRef>
          </c:cat>
          <c:val>
            <c:numRef>
              <c:f>'Task4 Hashtag and content... '!$B$21:$B$22</c:f>
              <c:numCache>
                <c:formatCode>0.00%</c:formatCode>
                <c:ptCount val="2"/>
                <c:pt idx="1">
                  <c:v>0.1042061943385596</c:v>
                </c:pt>
              </c:numCache>
            </c:numRef>
          </c:val>
        </c:ser>
        <c:ser>
          <c:idx val="1"/>
          <c:order val="1"/>
          <c:tx>
            <c:strRef>
              <c:f>'Task4 Hashtag and content... '!$C$19:$C$20</c:f>
              <c:strCache>
                <c:ptCount val="1"/>
                <c:pt idx="0">
                  <c:v>Text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'!$A$21:$A$22</c:f>
              <c:strCache>
                <c:ptCount val="2"/>
                <c:pt idx="0">
                  <c:v>Instagram</c:v>
                </c:pt>
                <c:pt idx="1">
                  <c:v>Twitter</c:v>
                </c:pt>
              </c:strCache>
            </c:strRef>
          </c:cat>
          <c:val>
            <c:numRef>
              <c:f>'Task4 Hashtag and content... '!$C$21:$C$22</c:f>
              <c:numCache>
                <c:formatCode>0.00%</c:formatCode>
                <c:ptCount val="2"/>
                <c:pt idx="0">
                  <c:v>8.8046020093982283E-2</c:v>
                </c:pt>
              </c:numCache>
            </c:numRef>
          </c:val>
        </c:ser>
        <c:dLbls>
          <c:dLblPos val="outEnd"/>
          <c:showLegendKey val="0"/>
          <c:showVal val="1"/>
          <c:showCatName val="0"/>
          <c:showSerName val="0"/>
          <c:showPercent val="0"/>
          <c:showBubbleSize val="0"/>
        </c:dLbls>
        <c:gapWidth val="182"/>
        <c:axId val="2044063008"/>
        <c:axId val="2044069536"/>
      </c:barChart>
      <c:catAx>
        <c:axId val="2044063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69536"/>
        <c:crosses val="autoZero"/>
        <c:auto val="1"/>
        <c:lblAlgn val="ctr"/>
        <c:lblOffset val="100"/>
        <c:noMultiLvlLbl val="0"/>
      </c:catAx>
      <c:valAx>
        <c:axId val="204406953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04406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Analysis.xlsx]Task4 Hashtag and content...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Hashtags</a:t>
            </a:r>
            <a:r>
              <a:rPr lang="en-IN" baseline="0"/>
              <a:t> by count and avg. eng.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 Hashtag and content... '!$B$3</c:f>
              <c:strCache>
                <c:ptCount val="1"/>
                <c:pt idx="0">
                  <c:v>Count of Hashtags Used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'!$A$4:$A$5</c:f>
              <c:strCache>
                <c:ptCount val="2"/>
                <c:pt idx="0">
                  <c:v>#MusicForEveryone</c:v>
                </c:pt>
                <c:pt idx="1">
                  <c:v>#SoundtrackOfLife</c:v>
                </c:pt>
              </c:strCache>
            </c:strRef>
          </c:cat>
          <c:val>
            <c:numRef>
              <c:f>'Task4 Hashtag and content... '!$B$4:$B$5</c:f>
              <c:numCache>
                <c:formatCode>General</c:formatCode>
                <c:ptCount val="2"/>
                <c:pt idx="0">
                  <c:v>33</c:v>
                </c:pt>
                <c:pt idx="1">
                  <c:v>53</c:v>
                </c:pt>
              </c:numCache>
            </c:numRef>
          </c:val>
        </c:ser>
        <c:ser>
          <c:idx val="1"/>
          <c:order val="1"/>
          <c:tx>
            <c:strRef>
              <c:f>'Task4 Hashtag and content... '!$C$3</c:f>
              <c:strCache>
                <c:ptCount val="1"/>
                <c:pt idx="0">
                  <c:v>Average of Total Engagement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'!$A$4:$A$5</c:f>
              <c:strCache>
                <c:ptCount val="2"/>
                <c:pt idx="0">
                  <c:v>#MusicForEveryone</c:v>
                </c:pt>
                <c:pt idx="1">
                  <c:v>#SoundtrackOfLife</c:v>
                </c:pt>
              </c:strCache>
            </c:strRef>
          </c:cat>
          <c:val>
            <c:numRef>
              <c:f>'Task4 Hashtag and content... '!$C$4:$C$5</c:f>
              <c:numCache>
                <c:formatCode>0</c:formatCode>
                <c:ptCount val="2"/>
                <c:pt idx="0">
                  <c:v>121884</c:v>
                </c:pt>
                <c:pt idx="1">
                  <c:v>184539</c:v>
                </c:pt>
              </c:numCache>
            </c:numRef>
          </c:val>
        </c:ser>
        <c:dLbls>
          <c:dLblPos val="outEnd"/>
          <c:showLegendKey val="0"/>
          <c:showVal val="1"/>
          <c:showCatName val="0"/>
          <c:showSerName val="0"/>
          <c:showPercent val="0"/>
          <c:showBubbleSize val="0"/>
        </c:dLbls>
        <c:gapWidth val="219"/>
        <c:overlap val="-27"/>
        <c:axId val="2044063552"/>
        <c:axId val="2044072800"/>
      </c:barChart>
      <c:catAx>
        <c:axId val="204406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72800"/>
        <c:crosses val="autoZero"/>
        <c:auto val="1"/>
        <c:lblAlgn val="ctr"/>
        <c:lblOffset val="100"/>
        <c:noMultiLvlLbl val="0"/>
      </c:catAx>
      <c:valAx>
        <c:axId val="204407280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r>
                  <a:rPr lang="en-IN" baseline="0"/>
                  <a:t> c</a:t>
                </a:r>
                <a:r>
                  <a:rPr lang="en-IN"/>
                  <a:t>ount</a:t>
                </a:r>
                <a:r>
                  <a:rPr lang="en-IN" baseline="0"/>
                  <a:t> and avg. Engagemnt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44063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Analysis.xlsx]Task4 Hashtag and content...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Hashtags</a:t>
            </a:r>
            <a:r>
              <a:rPr lang="en-IN" baseline="0"/>
              <a:t> by count and avg. eng.</a:t>
            </a:r>
            <a:endParaRPr lang="en-IN"/>
          </a:p>
        </c:rich>
      </c:tx>
      <c:layout>
        <c:manualLayout>
          <c:xMode val="edge"/>
          <c:yMode val="edge"/>
          <c:x val="0.21273088336741736"/>
          <c:y val="3.0676897871842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785322720737E-2"/>
          <c:y val="0.14721070067305966"/>
          <c:w val="0.93888888888888888"/>
          <c:h val="0.65853091280256637"/>
        </c:manualLayout>
      </c:layout>
      <c:barChart>
        <c:barDir val="col"/>
        <c:grouping val="clustered"/>
        <c:varyColors val="0"/>
        <c:ser>
          <c:idx val="0"/>
          <c:order val="0"/>
          <c:tx>
            <c:strRef>
              <c:f>'Task4 Hashtag and content... '!$B$10</c:f>
              <c:strCache>
                <c:ptCount val="1"/>
                <c:pt idx="0">
                  <c:v>Count of Hashtags Split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'!$A$11</c:f>
              <c:strCache>
                <c:ptCount val="1"/>
                <c:pt idx="0">
                  <c:v>#NowPlaying</c:v>
                </c:pt>
              </c:strCache>
            </c:strRef>
          </c:cat>
          <c:val>
            <c:numRef>
              <c:f>'Task4 Hashtag and content... '!$B$11</c:f>
              <c:numCache>
                <c:formatCode>General</c:formatCode>
                <c:ptCount val="1"/>
                <c:pt idx="0">
                  <c:v>86</c:v>
                </c:pt>
              </c:numCache>
            </c:numRef>
          </c:val>
        </c:ser>
        <c:ser>
          <c:idx val="1"/>
          <c:order val="1"/>
          <c:tx>
            <c:strRef>
              <c:f>'Task4 Hashtag and content... '!$C$10</c:f>
              <c:strCache>
                <c:ptCount val="1"/>
                <c:pt idx="0">
                  <c:v>Average of Total Engagement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'!$A$11</c:f>
              <c:strCache>
                <c:ptCount val="1"/>
                <c:pt idx="0">
                  <c:v>#NowPlaying</c:v>
                </c:pt>
              </c:strCache>
            </c:strRef>
          </c:cat>
          <c:val>
            <c:numRef>
              <c:f>'Task4 Hashtag and content... '!$C$11</c:f>
              <c:numCache>
                <c:formatCode>0</c:formatCode>
                <c:ptCount val="1"/>
                <c:pt idx="0">
                  <c:v>306423</c:v>
                </c:pt>
              </c:numCache>
            </c:numRef>
          </c:val>
        </c:ser>
        <c:dLbls>
          <c:dLblPos val="outEnd"/>
          <c:showLegendKey val="0"/>
          <c:showVal val="1"/>
          <c:showCatName val="0"/>
          <c:showSerName val="0"/>
          <c:showPercent val="0"/>
          <c:showBubbleSize val="0"/>
        </c:dLbls>
        <c:gapWidth val="219"/>
        <c:overlap val="-27"/>
        <c:axId val="2044065184"/>
        <c:axId val="2044066272"/>
      </c:barChart>
      <c:catAx>
        <c:axId val="204406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66272"/>
        <c:crosses val="autoZero"/>
        <c:auto val="1"/>
        <c:lblAlgn val="ctr"/>
        <c:lblOffset val="100"/>
        <c:noMultiLvlLbl val="0"/>
      </c:catAx>
      <c:valAx>
        <c:axId val="204406627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r>
                  <a:rPr lang="en-IN" baseline="0"/>
                  <a:t> count and avg. Engagement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44065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Analysis.xlsx]Task5 Campaign Effectiveness!PivotTable5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&amp; average impressions, likes, clicks per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rgbClr val="00B050"/>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clustered"/>
        <c:varyColors val="0"/>
        <c:ser>
          <c:idx val="0"/>
          <c:order val="0"/>
          <c:tx>
            <c:strRef>
              <c:f>'Task5 Campaign Effectiveness'!$B$3</c:f>
              <c:strCache>
                <c:ptCount val="1"/>
                <c:pt idx="0">
                  <c:v>Sum of Impressions</c:v>
                </c:pt>
              </c:strCache>
            </c:strRef>
          </c:tx>
          <c:spPr>
            <a:solidFill>
              <a:srgbClr val="00B050"/>
            </a:solidFill>
            <a:ln>
              <a:noFill/>
            </a:ln>
            <a:effectLst/>
          </c:spPr>
          <c:invertIfNegative val="0"/>
          <c:cat>
            <c:strRef>
              <c:f>'Task5 Campaign Effectiveness'!$A$4</c:f>
              <c:strCache>
                <c:ptCount val="1"/>
                <c:pt idx="0">
                  <c:v>ChillVibes</c:v>
                </c:pt>
              </c:strCache>
            </c:strRef>
          </c:cat>
          <c:val>
            <c:numRef>
              <c:f>'Task5 Campaign Effectiveness'!$B$4</c:f>
              <c:numCache>
                <c:formatCode>General</c:formatCode>
                <c:ptCount val="1"/>
                <c:pt idx="0">
                  <c:v>3446164</c:v>
                </c:pt>
              </c:numCache>
            </c:numRef>
          </c:val>
        </c:ser>
        <c:ser>
          <c:idx val="1"/>
          <c:order val="1"/>
          <c:tx>
            <c:strRef>
              <c:f>'Task5 Campaign Effectiveness'!$C$3</c:f>
              <c:strCache>
                <c:ptCount val="1"/>
                <c:pt idx="0">
                  <c:v>Average of Impressions2</c:v>
                </c:pt>
              </c:strCache>
            </c:strRef>
          </c:tx>
          <c:spPr>
            <a:solidFill>
              <a:schemeClr val="accent2"/>
            </a:solidFill>
            <a:ln>
              <a:noFill/>
            </a:ln>
            <a:effectLst/>
          </c:spPr>
          <c:invertIfNegative val="0"/>
          <c:cat>
            <c:strRef>
              <c:f>'Task5 Campaign Effectiveness'!$A$4</c:f>
              <c:strCache>
                <c:ptCount val="1"/>
                <c:pt idx="0">
                  <c:v>ChillVibes</c:v>
                </c:pt>
              </c:strCache>
            </c:strRef>
          </c:cat>
          <c:val>
            <c:numRef>
              <c:f>'Task5 Campaign Effectiveness'!$C$4</c:f>
              <c:numCache>
                <c:formatCode>0</c:formatCode>
                <c:ptCount val="1"/>
                <c:pt idx="0">
                  <c:v>40071.674418604649</c:v>
                </c:pt>
              </c:numCache>
            </c:numRef>
          </c:val>
        </c:ser>
        <c:ser>
          <c:idx val="2"/>
          <c:order val="2"/>
          <c:tx>
            <c:strRef>
              <c:f>'Task5 Campaign Effectiveness'!$D$3</c:f>
              <c:strCache>
                <c:ptCount val="1"/>
                <c:pt idx="0">
                  <c:v>Sum of Likes</c:v>
                </c:pt>
              </c:strCache>
            </c:strRef>
          </c:tx>
          <c:spPr>
            <a:solidFill>
              <a:schemeClr val="accent3"/>
            </a:solidFill>
            <a:ln>
              <a:noFill/>
            </a:ln>
            <a:effectLst/>
          </c:spPr>
          <c:invertIfNegative val="0"/>
          <c:cat>
            <c:strRef>
              <c:f>'Task5 Campaign Effectiveness'!$A$4</c:f>
              <c:strCache>
                <c:ptCount val="1"/>
                <c:pt idx="0">
                  <c:v>ChillVibes</c:v>
                </c:pt>
              </c:strCache>
            </c:strRef>
          </c:cat>
          <c:val>
            <c:numRef>
              <c:f>'Task5 Campaign Effectiveness'!$D$4</c:f>
              <c:numCache>
                <c:formatCode>General</c:formatCode>
                <c:ptCount val="1"/>
                <c:pt idx="0">
                  <c:v>260734</c:v>
                </c:pt>
              </c:numCache>
            </c:numRef>
          </c:val>
        </c:ser>
        <c:ser>
          <c:idx val="3"/>
          <c:order val="3"/>
          <c:tx>
            <c:strRef>
              <c:f>'Task5 Campaign Effectiveness'!$E$3</c:f>
              <c:strCache>
                <c:ptCount val="1"/>
                <c:pt idx="0">
                  <c:v>Average of Likes2</c:v>
                </c:pt>
              </c:strCache>
            </c:strRef>
          </c:tx>
          <c:spPr>
            <a:solidFill>
              <a:schemeClr val="accent4"/>
            </a:solidFill>
            <a:ln>
              <a:noFill/>
            </a:ln>
            <a:effectLst/>
          </c:spPr>
          <c:invertIfNegative val="0"/>
          <c:cat>
            <c:strRef>
              <c:f>'Task5 Campaign Effectiveness'!$A$4</c:f>
              <c:strCache>
                <c:ptCount val="1"/>
                <c:pt idx="0">
                  <c:v>ChillVibes</c:v>
                </c:pt>
              </c:strCache>
            </c:strRef>
          </c:cat>
          <c:val>
            <c:numRef>
              <c:f>'Task5 Campaign Effectiveness'!$E$4</c:f>
              <c:numCache>
                <c:formatCode>0</c:formatCode>
                <c:ptCount val="1"/>
                <c:pt idx="0">
                  <c:v>3031.7906976744184</c:v>
                </c:pt>
              </c:numCache>
            </c:numRef>
          </c:val>
        </c:ser>
        <c:ser>
          <c:idx val="4"/>
          <c:order val="4"/>
          <c:tx>
            <c:strRef>
              <c:f>'Task5 Campaign Effectiveness'!$F$3</c:f>
              <c:strCache>
                <c:ptCount val="1"/>
                <c:pt idx="0">
                  <c:v>Sum of Clicks</c:v>
                </c:pt>
              </c:strCache>
            </c:strRef>
          </c:tx>
          <c:spPr>
            <a:solidFill>
              <a:schemeClr val="accent5"/>
            </a:solidFill>
            <a:ln>
              <a:noFill/>
            </a:ln>
            <a:effectLst/>
          </c:spPr>
          <c:invertIfNegative val="0"/>
          <c:cat>
            <c:strRef>
              <c:f>'Task5 Campaign Effectiveness'!$A$4</c:f>
              <c:strCache>
                <c:ptCount val="1"/>
                <c:pt idx="0">
                  <c:v>ChillVibes</c:v>
                </c:pt>
              </c:strCache>
            </c:strRef>
          </c:cat>
          <c:val>
            <c:numRef>
              <c:f>'Task5 Campaign Effectiveness'!$F$4</c:f>
              <c:numCache>
                <c:formatCode>General</c:formatCode>
                <c:ptCount val="1"/>
                <c:pt idx="0">
                  <c:v>15830</c:v>
                </c:pt>
              </c:numCache>
            </c:numRef>
          </c:val>
        </c:ser>
        <c:ser>
          <c:idx val="5"/>
          <c:order val="5"/>
          <c:tx>
            <c:strRef>
              <c:f>'Task5 Campaign Effectiveness'!$G$3</c:f>
              <c:strCache>
                <c:ptCount val="1"/>
                <c:pt idx="0">
                  <c:v>Average of Clicks2</c:v>
                </c:pt>
              </c:strCache>
            </c:strRef>
          </c:tx>
          <c:spPr>
            <a:solidFill>
              <a:schemeClr val="accent6"/>
            </a:solidFill>
            <a:ln>
              <a:noFill/>
            </a:ln>
            <a:effectLst/>
          </c:spPr>
          <c:invertIfNegative val="0"/>
          <c:cat>
            <c:strRef>
              <c:f>'Task5 Campaign Effectiveness'!$A$4</c:f>
              <c:strCache>
                <c:ptCount val="1"/>
                <c:pt idx="0">
                  <c:v>ChillVibes</c:v>
                </c:pt>
              </c:strCache>
            </c:strRef>
          </c:cat>
          <c:val>
            <c:numRef>
              <c:f>'Task5 Campaign Effectiveness'!$G$4</c:f>
              <c:numCache>
                <c:formatCode>0</c:formatCode>
                <c:ptCount val="1"/>
                <c:pt idx="0">
                  <c:v>184.06976744186048</c:v>
                </c:pt>
              </c:numCache>
            </c:numRef>
          </c:val>
        </c:ser>
        <c:dLbls>
          <c:showLegendKey val="0"/>
          <c:showVal val="0"/>
          <c:showCatName val="0"/>
          <c:showSerName val="0"/>
          <c:showPercent val="0"/>
          <c:showBubbleSize val="0"/>
        </c:dLbls>
        <c:gapWidth val="219"/>
        <c:overlap val="-27"/>
        <c:axId val="2044070080"/>
        <c:axId val="2044070624"/>
      </c:barChart>
      <c:catAx>
        <c:axId val="204407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Campaign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70624"/>
        <c:crosses val="autoZero"/>
        <c:auto val="1"/>
        <c:lblAlgn val="ctr"/>
        <c:lblOffset val="100"/>
        <c:noMultiLvlLbl val="0"/>
      </c:catAx>
      <c:valAx>
        <c:axId val="2044070624"/>
        <c:scaling>
          <c:orientation val="minMax"/>
        </c:scaling>
        <c:delete val="1"/>
        <c:axPos val="l"/>
        <c:numFmt formatCode="General" sourceLinked="1"/>
        <c:majorTickMark val="none"/>
        <c:minorTickMark val="none"/>
        <c:tickLblPos val="nextTo"/>
        <c:crossAx val="204407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Analysis.xlsx]Task5 Campaign Effectiveness!PivotTable9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Eng.rate</a:t>
            </a:r>
            <a:r>
              <a:rPr lang="en-US" baseline="0"/>
              <a:t>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69553805774278E-2"/>
          <c:y val="0.19256863736136262"/>
          <c:w val="0.89665266841644797"/>
          <c:h val="0.62715478499072541"/>
        </c:manualLayout>
      </c:layout>
      <c:barChart>
        <c:barDir val="col"/>
        <c:grouping val="clustered"/>
        <c:varyColors val="0"/>
        <c:ser>
          <c:idx val="0"/>
          <c:order val="0"/>
          <c:tx>
            <c:strRef>
              <c:f>'Task5 Campaign Effectiveness'!$B$17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'Task5 Campaign Effectiveness'!$A$18:$A$19</c:f>
              <c:strCache>
                <c:ptCount val="1"/>
                <c:pt idx="0">
                  <c:v>ChillVibes</c:v>
                </c:pt>
              </c:strCache>
            </c:strRef>
          </c:cat>
          <c:val>
            <c:numRef>
              <c:f>'Task5 Campaign Effectiveness'!$B$18:$B$19</c:f>
              <c:numCache>
                <c:formatCode>0.0%</c:formatCode>
                <c:ptCount val="1"/>
                <c:pt idx="0">
                  <c:v>9.8005197244710199E-2</c:v>
                </c:pt>
              </c:numCache>
            </c:numRef>
          </c:val>
        </c:ser>
        <c:dLbls>
          <c:dLblPos val="outEnd"/>
          <c:showLegendKey val="0"/>
          <c:showVal val="1"/>
          <c:showCatName val="0"/>
          <c:showSerName val="0"/>
          <c:showPercent val="0"/>
          <c:showBubbleSize val="0"/>
        </c:dLbls>
        <c:gapWidth val="219"/>
        <c:overlap val="-27"/>
        <c:axId val="2106553712"/>
        <c:axId val="2106568400"/>
      </c:barChart>
      <c:catAx>
        <c:axId val="210655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Campaign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68400"/>
        <c:crosses val="autoZero"/>
        <c:auto val="1"/>
        <c:lblAlgn val="ctr"/>
        <c:lblOffset val="100"/>
        <c:noMultiLvlLbl val="0"/>
      </c:catAx>
      <c:valAx>
        <c:axId val="210656840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2106553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Analysis.xlsx]Task6 Follower retention!PivotTable12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follower gains per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'Task6 Follower retention'!$B$3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'Task6 Follower retention'!$A$4:$A$13</c:f>
              <c:strCache>
                <c:ptCount val="10"/>
                <c:pt idx="0">
                  <c:v>35</c:v>
                </c:pt>
                <c:pt idx="1">
                  <c:v>33</c:v>
                </c:pt>
                <c:pt idx="2">
                  <c:v>31</c:v>
                </c:pt>
                <c:pt idx="3">
                  <c:v>30</c:v>
                </c:pt>
                <c:pt idx="4">
                  <c:v>29</c:v>
                </c:pt>
                <c:pt idx="5">
                  <c:v>28</c:v>
                </c:pt>
                <c:pt idx="6">
                  <c:v>27</c:v>
                </c:pt>
                <c:pt idx="7">
                  <c:v>25</c:v>
                </c:pt>
                <c:pt idx="8">
                  <c:v>24</c:v>
                </c:pt>
                <c:pt idx="9">
                  <c:v>23</c:v>
                </c:pt>
              </c:strCache>
            </c:strRef>
          </c:cat>
          <c:val>
            <c:numRef>
              <c:f>'Task6 Follower retention'!$B$4:$B$13</c:f>
              <c:numCache>
                <c:formatCode>0</c:formatCode>
                <c:ptCount val="10"/>
                <c:pt idx="0">
                  <c:v>5096</c:v>
                </c:pt>
                <c:pt idx="1">
                  <c:v>5419</c:v>
                </c:pt>
                <c:pt idx="2">
                  <c:v>5368</c:v>
                </c:pt>
                <c:pt idx="3">
                  <c:v>4975</c:v>
                </c:pt>
                <c:pt idx="4">
                  <c:v>5023</c:v>
                </c:pt>
                <c:pt idx="5">
                  <c:v>5824</c:v>
                </c:pt>
                <c:pt idx="6">
                  <c:v>4741</c:v>
                </c:pt>
                <c:pt idx="7">
                  <c:v>5192</c:v>
                </c:pt>
                <c:pt idx="8">
                  <c:v>5020</c:v>
                </c:pt>
                <c:pt idx="9">
                  <c:v>5468</c:v>
                </c:pt>
              </c:numCache>
            </c:numRef>
          </c:val>
        </c:ser>
        <c:dLbls>
          <c:dLblPos val="outEnd"/>
          <c:showLegendKey val="0"/>
          <c:showVal val="1"/>
          <c:showCatName val="0"/>
          <c:showSerName val="0"/>
          <c:showPercent val="0"/>
          <c:showBubbleSize val="0"/>
        </c:dLbls>
        <c:gapWidth val="219"/>
        <c:overlap val="-27"/>
        <c:axId val="2106565136"/>
        <c:axId val="2106555888"/>
      </c:barChart>
      <c:catAx>
        <c:axId val="210656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55888"/>
        <c:crosses val="autoZero"/>
        <c:auto val="1"/>
        <c:lblAlgn val="ctr"/>
        <c:lblOffset val="100"/>
        <c:noMultiLvlLbl val="0"/>
      </c:catAx>
      <c:valAx>
        <c:axId val="210655588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Follower gain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106565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Analysis.xlsx]Task6 Follower retention!PivotTable13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Moving average chart to analyze follower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00B050"/>
            </a:solidFill>
            <a:round/>
          </a:ln>
          <a:effectLst/>
        </c:spPr>
        <c:marker>
          <c:symbol val="none"/>
        </c:marker>
      </c:pivotFmt>
    </c:pivotFmts>
    <c:plotArea>
      <c:layout/>
      <c:lineChart>
        <c:grouping val="standard"/>
        <c:varyColors val="0"/>
        <c:ser>
          <c:idx val="0"/>
          <c:order val="0"/>
          <c:tx>
            <c:strRef>
              <c:f>'Task6 Follower retention'!$B$18</c:f>
              <c:strCache>
                <c:ptCount val="1"/>
                <c:pt idx="0">
                  <c:v>Total</c:v>
                </c:pt>
              </c:strCache>
            </c:strRef>
          </c:tx>
          <c:spPr>
            <a:ln w="28575" cap="rnd">
              <a:solidFill>
                <a:srgbClr val="00B050"/>
              </a:solidFill>
              <a:round/>
            </a:ln>
            <a:effectLst/>
          </c:spPr>
          <c:marker>
            <c:symbol val="none"/>
          </c:marker>
          <c:trendline>
            <c:spPr>
              <a:ln w="19050" cap="rnd">
                <a:solidFill>
                  <a:schemeClr val="accent1"/>
                </a:solidFill>
                <a:prstDash val="sysDot"/>
              </a:ln>
              <a:effectLst/>
            </c:spPr>
            <c:trendlineType val="movingAvg"/>
            <c:period val="5"/>
            <c:dispRSqr val="0"/>
            <c:dispEq val="0"/>
          </c:trendline>
          <c:cat>
            <c:strRef>
              <c:f>'Task6 Follower retention'!$A$19:$A$28</c:f>
              <c:strCache>
                <c:ptCount val="10"/>
                <c:pt idx="0">
                  <c:v>03-06-2024</c:v>
                </c:pt>
                <c:pt idx="1">
                  <c:v>17-06-2024</c:v>
                </c:pt>
                <c:pt idx="2">
                  <c:v>08-07-2024</c:v>
                </c:pt>
                <c:pt idx="3">
                  <c:v>12-08-2024</c:v>
                </c:pt>
                <c:pt idx="4">
                  <c:v>30-09-2024</c:v>
                </c:pt>
                <c:pt idx="5">
                  <c:v>04-11-2024</c:v>
                </c:pt>
                <c:pt idx="6">
                  <c:v>07-04-2025</c:v>
                </c:pt>
                <c:pt idx="7">
                  <c:v>14-04-2025</c:v>
                </c:pt>
                <c:pt idx="8">
                  <c:v>19-05-2025</c:v>
                </c:pt>
                <c:pt idx="9">
                  <c:v>28-07-2025</c:v>
                </c:pt>
              </c:strCache>
            </c:strRef>
          </c:cat>
          <c:val>
            <c:numRef>
              <c:f>'Task6 Follower retention'!$B$19:$B$28</c:f>
              <c:numCache>
                <c:formatCode>0</c:formatCode>
                <c:ptCount val="10"/>
                <c:pt idx="0">
                  <c:v>3419</c:v>
                </c:pt>
                <c:pt idx="1">
                  <c:v>3175</c:v>
                </c:pt>
                <c:pt idx="2">
                  <c:v>3155</c:v>
                </c:pt>
                <c:pt idx="3">
                  <c:v>3072</c:v>
                </c:pt>
                <c:pt idx="4">
                  <c:v>3151</c:v>
                </c:pt>
                <c:pt idx="5">
                  <c:v>3576</c:v>
                </c:pt>
                <c:pt idx="6">
                  <c:v>3291</c:v>
                </c:pt>
                <c:pt idx="7">
                  <c:v>3216</c:v>
                </c:pt>
                <c:pt idx="8">
                  <c:v>3569</c:v>
                </c:pt>
                <c:pt idx="9">
                  <c:v>3236</c:v>
                </c:pt>
              </c:numCache>
            </c:numRef>
          </c:val>
          <c:smooth val="0"/>
        </c:ser>
        <c:dLbls>
          <c:showLegendKey val="0"/>
          <c:showVal val="0"/>
          <c:showCatName val="0"/>
          <c:showSerName val="0"/>
          <c:showPercent val="0"/>
          <c:showBubbleSize val="0"/>
        </c:dLbls>
        <c:smooth val="0"/>
        <c:axId val="2106558064"/>
        <c:axId val="2106566224"/>
      </c:lineChart>
      <c:catAx>
        <c:axId val="210655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a:t>
                </a:r>
                <a:r>
                  <a:rPr lang="en-IN" baseline="0"/>
                  <a:t>_date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66224"/>
        <c:crosses val="autoZero"/>
        <c:auto val="1"/>
        <c:lblAlgn val="ctr"/>
        <c:lblOffset val="100"/>
        <c:noMultiLvlLbl val="0"/>
      </c:catAx>
      <c:valAx>
        <c:axId val="210656622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0655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Analysis.xlsx]Task5 Campaign Effectiveness!PivotTable10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Engagement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'Task5 Campaign Effectiveness'!$B$30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'Task5 Campaign Effectiveness'!$A$31:$A$32</c:f>
              <c:strCache>
                <c:ptCount val="2"/>
                <c:pt idx="0">
                  <c:v>Instagram</c:v>
                </c:pt>
                <c:pt idx="1">
                  <c:v>Twitter</c:v>
                </c:pt>
              </c:strCache>
            </c:strRef>
          </c:cat>
          <c:val>
            <c:numRef>
              <c:f>'Task5 Campaign Effectiveness'!$B$31:$B$32</c:f>
              <c:numCache>
                <c:formatCode>0</c:formatCode>
                <c:ptCount val="2"/>
                <c:pt idx="0">
                  <c:v>111180</c:v>
                </c:pt>
                <c:pt idx="1">
                  <c:v>195243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Analysis.xlsx]Task6 Follower retention!PivotTable13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Moving average chart to analyze follower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'Task6 Follower retention'!$B$18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5"/>
            <c:dispRSqr val="0"/>
            <c:dispEq val="0"/>
          </c:trendline>
          <c:cat>
            <c:strRef>
              <c:f>'Task6 Follower retention'!$A$19:$A$28</c:f>
              <c:strCache>
                <c:ptCount val="10"/>
                <c:pt idx="0">
                  <c:v>03-06-2024</c:v>
                </c:pt>
                <c:pt idx="1">
                  <c:v>17-06-2024</c:v>
                </c:pt>
                <c:pt idx="2">
                  <c:v>08-07-2024</c:v>
                </c:pt>
                <c:pt idx="3">
                  <c:v>12-08-2024</c:v>
                </c:pt>
                <c:pt idx="4">
                  <c:v>30-09-2024</c:v>
                </c:pt>
                <c:pt idx="5">
                  <c:v>04-11-2024</c:v>
                </c:pt>
                <c:pt idx="6">
                  <c:v>07-04-2025</c:v>
                </c:pt>
                <c:pt idx="7">
                  <c:v>14-04-2025</c:v>
                </c:pt>
                <c:pt idx="8">
                  <c:v>19-05-2025</c:v>
                </c:pt>
                <c:pt idx="9">
                  <c:v>28-07-2025</c:v>
                </c:pt>
              </c:strCache>
            </c:strRef>
          </c:cat>
          <c:val>
            <c:numRef>
              <c:f>'Task6 Follower retention'!$B$19:$B$28</c:f>
              <c:numCache>
                <c:formatCode>0</c:formatCode>
                <c:ptCount val="10"/>
                <c:pt idx="0">
                  <c:v>3419</c:v>
                </c:pt>
                <c:pt idx="1">
                  <c:v>3175</c:v>
                </c:pt>
                <c:pt idx="2">
                  <c:v>3155</c:v>
                </c:pt>
                <c:pt idx="3">
                  <c:v>3072</c:v>
                </c:pt>
                <c:pt idx="4">
                  <c:v>3151</c:v>
                </c:pt>
                <c:pt idx="5">
                  <c:v>3576</c:v>
                </c:pt>
                <c:pt idx="6">
                  <c:v>3291</c:v>
                </c:pt>
                <c:pt idx="7">
                  <c:v>3216</c:v>
                </c:pt>
                <c:pt idx="8">
                  <c:v>3569</c:v>
                </c:pt>
                <c:pt idx="9">
                  <c:v>3236</c:v>
                </c:pt>
              </c:numCache>
            </c:numRef>
          </c:val>
          <c:smooth val="0"/>
        </c:ser>
        <c:dLbls>
          <c:showLegendKey val="0"/>
          <c:showVal val="0"/>
          <c:showCatName val="0"/>
          <c:showSerName val="0"/>
          <c:showPercent val="0"/>
          <c:showBubbleSize val="0"/>
        </c:dLbls>
        <c:smooth val="0"/>
        <c:axId val="2106559696"/>
        <c:axId val="2106554256"/>
      </c:lineChart>
      <c:catAx>
        <c:axId val="210655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a:t>
                </a:r>
                <a:r>
                  <a:rPr lang="en-IN" baseline="0"/>
                  <a:t>_date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54256"/>
        <c:crosses val="autoZero"/>
        <c:auto val="1"/>
        <c:lblAlgn val="ctr"/>
        <c:lblOffset val="100"/>
        <c:noMultiLvlLbl val="0"/>
      </c:catAx>
      <c:valAx>
        <c:axId val="21065542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0655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Analysis.xlsx]Task6 Follower retention!PivotTable12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follower gains per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'Task6 Follower retention'!$B$3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'Task6 Follower retention'!$A$4:$A$13</c:f>
              <c:strCache>
                <c:ptCount val="10"/>
                <c:pt idx="0">
                  <c:v>35</c:v>
                </c:pt>
                <c:pt idx="1">
                  <c:v>33</c:v>
                </c:pt>
                <c:pt idx="2">
                  <c:v>31</c:v>
                </c:pt>
                <c:pt idx="3">
                  <c:v>30</c:v>
                </c:pt>
                <c:pt idx="4">
                  <c:v>29</c:v>
                </c:pt>
                <c:pt idx="5">
                  <c:v>28</c:v>
                </c:pt>
                <c:pt idx="6">
                  <c:v>27</c:v>
                </c:pt>
                <c:pt idx="7">
                  <c:v>25</c:v>
                </c:pt>
                <c:pt idx="8">
                  <c:v>24</c:v>
                </c:pt>
                <c:pt idx="9">
                  <c:v>23</c:v>
                </c:pt>
              </c:strCache>
            </c:strRef>
          </c:cat>
          <c:val>
            <c:numRef>
              <c:f>'Task6 Follower retention'!$B$4:$B$13</c:f>
              <c:numCache>
                <c:formatCode>0</c:formatCode>
                <c:ptCount val="10"/>
                <c:pt idx="0">
                  <c:v>5096</c:v>
                </c:pt>
                <c:pt idx="1">
                  <c:v>5419</c:v>
                </c:pt>
                <c:pt idx="2">
                  <c:v>5368</c:v>
                </c:pt>
                <c:pt idx="3">
                  <c:v>4975</c:v>
                </c:pt>
                <c:pt idx="4">
                  <c:v>5023</c:v>
                </c:pt>
                <c:pt idx="5">
                  <c:v>5824</c:v>
                </c:pt>
                <c:pt idx="6">
                  <c:v>4741</c:v>
                </c:pt>
                <c:pt idx="7">
                  <c:v>5192</c:v>
                </c:pt>
                <c:pt idx="8">
                  <c:v>5020</c:v>
                </c:pt>
                <c:pt idx="9">
                  <c:v>5468</c:v>
                </c:pt>
              </c:numCache>
            </c:numRef>
          </c:val>
        </c:ser>
        <c:dLbls>
          <c:dLblPos val="outEnd"/>
          <c:showLegendKey val="0"/>
          <c:showVal val="1"/>
          <c:showCatName val="0"/>
          <c:showSerName val="0"/>
          <c:showPercent val="0"/>
          <c:showBubbleSize val="0"/>
        </c:dLbls>
        <c:gapWidth val="219"/>
        <c:overlap val="-27"/>
        <c:axId val="2106560240"/>
        <c:axId val="2106564048"/>
      </c:barChart>
      <c:catAx>
        <c:axId val="2106560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64048"/>
        <c:crosses val="autoZero"/>
        <c:auto val="1"/>
        <c:lblAlgn val="ctr"/>
        <c:lblOffset val="100"/>
        <c:noMultiLvlLbl val="0"/>
      </c:catAx>
      <c:valAx>
        <c:axId val="210656404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Follower gain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106560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Analysis.xlsx]Task5 Campaign Effectiveness!PivotTable5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&amp; average impressions, likes, clicks per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'Task5 Campaign Effectiveness'!$B$3</c:f>
              <c:strCache>
                <c:ptCount val="1"/>
                <c:pt idx="0">
                  <c:v>Sum of Impressions</c:v>
                </c:pt>
              </c:strCache>
            </c:strRef>
          </c:tx>
          <c:spPr>
            <a:solidFill>
              <a:schemeClr val="accent1"/>
            </a:solidFill>
            <a:ln>
              <a:noFill/>
            </a:ln>
            <a:effectLst/>
          </c:spPr>
          <c:invertIfNegative val="0"/>
          <c:cat>
            <c:strRef>
              <c:f>'Task5 Campaign Effectiveness'!$A$4</c:f>
              <c:strCache>
                <c:ptCount val="1"/>
                <c:pt idx="0">
                  <c:v>ChillVibes</c:v>
                </c:pt>
              </c:strCache>
            </c:strRef>
          </c:cat>
          <c:val>
            <c:numRef>
              <c:f>'Task5 Campaign Effectiveness'!$B$4</c:f>
              <c:numCache>
                <c:formatCode>General</c:formatCode>
                <c:ptCount val="1"/>
                <c:pt idx="0">
                  <c:v>3446164</c:v>
                </c:pt>
              </c:numCache>
            </c:numRef>
          </c:val>
        </c:ser>
        <c:ser>
          <c:idx val="1"/>
          <c:order val="1"/>
          <c:tx>
            <c:strRef>
              <c:f>'Task5 Campaign Effectiveness'!$C$3</c:f>
              <c:strCache>
                <c:ptCount val="1"/>
                <c:pt idx="0">
                  <c:v>Average of Impressions2</c:v>
                </c:pt>
              </c:strCache>
            </c:strRef>
          </c:tx>
          <c:spPr>
            <a:solidFill>
              <a:schemeClr val="accent2"/>
            </a:solidFill>
            <a:ln>
              <a:noFill/>
            </a:ln>
            <a:effectLst/>
          </c:spPr>
          <c:invertIfNegative val="0"/>
          <c:cat>
            <c:strRef>
              <c:f>'Task5 Campaign Effectiveness'!$A$4</c:f>
              <c:strCache>
                <c:ptCount val="1"/>
                <c:pt idx="0">
                  <c:v>ChillVibes</c:v>
                </c:pt>
              </c:strCache>
            </c:strRef>
          </c:cat>
          <c:val>
            <c:numRef>
              <c:f>'Task5 Campaign Effectiveness'!$C$4</c:f>
              <c:numCache>
                <c:formatCode>0</c:formatCode>
                <c:ptCount val="1"/>
                <c:pt idx="0">
                  <c:v>40071.674418604649</c:v>
                </c:pt>
              </c:numCache>
            </c:numRef>
          </c:val>
        </c:ser>
        <c:ser>
          <c:idx val="2"/>
          <c:order val="2"/>
          <c:tx>
            <c:strRef>
              <c:f>'Task5 Campaign Effectiveness'!$D$3</c:f>
              <c:strCache>
                <c:ptCount val="1"/>
                <c:pt idx="0">
                  <c:v>Sum of Likes</c:v>
                </c:pt>
              </c:strCache>
            </c:strRef>
          </c:tx>
          <c:spPr>
            <a:solidFill>
              <a:schemeClr val="accent3"/>
            </a:solidFill>
            <a:ln>
              <a:noFill/>
            </a:ln>
            <a:effectLst/>
          </c:spPr>
          <c:invertIfNegative val="0"/>
          <c:cat>
            <c:strRef>
              <c:f>'Task5 Campaign Effectiveness'!$A$4</c:f>
              <c:strCache>
                <c:ptCount val="1"/>
                <c:pt idx="0">
                  <c:v>ChillVibes</c:v>
                </c:pt>
              </c:strCache>
            </c:strRef>
          </c:cat>
          <c:val>
            <c:numRef>
              <c:f>'Task5 Campaign Effectiveness'!$D$4</c:f>
              <c:numCache>
                <c:formatCode>General</c:formatCode>
                <c:ptCount val="1"/>
                <c:pt idx="0">
                  <c:v>260734</c:v>
                </c:pt>
              </c:numCache>
            </c:numRef>
          </c:val>
        </c:ser>
        <c:ser>
          <c:idx val="3"/>
          <c:order val="3"/>
          <c:tx>
            <c:strRef>
              <c:f>'Task5 Campaign Effectiveness'!$E$3</c:f>
              <c:strCache>
                <c:ptCount val="1"/>
                <c:pt idx="0">
                  <c:v>Average of Likes2</c:v>
                </c:pt>
              </c:strCache>
            </c:strRef>
          </c:tx>
          <c:spPr>
            <a:solidFill>
              <a:schemeClr val="accent4"/>
            </a:solidFill>
            <a:ln>
              <a:noFill/>
            </a:ln>
            <a:effectLst/>
          </c:spPr>
          <c:invertIfNegative val="0"/>
          <c:cat>
            <c:strRef>
              <c:f>'Task5 Campaign Effectiveness'!$A$4</c:f>
              <c:strCache>
                <c:ptCount val="1"/>
                <c:pt idx="0">
                  <c:v>ChillVibes</c:v>
                </c:pt>
              </c:strCache>
            </c:strRef>
          </c:cat>
          <c:val>
            <c:numRef>
              <c:f>'Task5 Campaign Effectiveness'!$E$4</c:f>
              <c:numCache>
                <c:formatCode>0</c:formatCode>
                <c:ptCount val="1"/>
                <c:pt idx="0">
                  <c:v>3031.7906976744184</c:v>
                </c:pt>
              </c:numCache>
            </c:numRef>
          </c:val>
        </c:ser>
        <c:ser>
          <c:idx val="4"/>
          <c:order val="4"/>
          <c:tx>
            <c:strRef>
              <c:f>'Task5 Campaign Effectiveness'!$F$3</c:f>
              <c:strCache>
                <c:ptCount val="1"/>
                <c:pt idx="0">
                  <c:v>Sum of Clicks</c:v>
                </c:pt>
              </c:strCache>
            </c:strRef>
          </c:tx>
          <c:spPr>
            <a:solidFill>
              <a:schemeClr val="accent5"/>
            </a:solidFill>
            <a:ln>
              <a:noFill/>
            </a:ln>
            <a:effectLst/>
          </c:spPr>
          <c:invertIfNegative val="0"/>
          <c:cat>
            <c:strRef>
              <c:f>'Task5 Campaign Effectiveness'!$A$4</c:f>
              <c:strCache>
                <c:ptCount val="1"/>
                <c:pt idx="0">
                  <c:v>ChillVibes</c:v>
                </c:pt>
              </c:strCache>
            </c:strRef>
          </c:cat>
          <c:val>
            <c:numRef>
              <c:f>'Task5 Campaign Effectiveness'!$F$4</c:f>
              <c:numCache>
                <c:formatCode>General</c:formatCode>
                <c:ptCount val="1"/>
                <c:pt idx="0">
                  <c:v>15830</c:v>
                </c:pt>
              </c:numCache>
            </c:numRef>
          </c:val>
        </c:ser>
        <c:ser>
          <c:idx val="5"/>
          <c:order val="5"/>
          <c:tx>
            <c:strRef>
              <c:f>'Task5 Campaign Effectiveness'!$G$3</c:f>
              <c:strCache>
                <c:ptCount val="1"/>
                <c:pt idx="0">
                  <c:v>Average of Clicks2</c:v>
                </c:pt>
              </c:strCache>
            </c:strRef>
          </c:tx>
          <c:spPr>
            <a:solidFill>
              <a:schemeClr val="accent6"/>
            </a:solidFill>
            <a:ln>
              <a:noFill/>
            </a:ln>
            <a:effectLst/>
          </c:spPr>
          <c:invertIfNegative val="0"/>
          <c:cat>
            <c:strRef>
              <c:f>'Task5 Campaign Effectiveness'!$A$4</c:f>
              <c:strCache>
                <c:ptCount val="1"/>
                <c:pt idx="0">
                  <c:v>ChillVibes</c:v>
                </c:pt>
              </c:strCache>
            </c:strRef>
          </c:cat>
          <c:val>
            <c:numRef>
              <c:f>'Task5 Campaign Effectiveness'!$G$4</c:f>
              <c:numCache>
                <c:formatCode>0</c:formatCode>
                <c:ptCount val="1"/>
                <c:pt idx="0">
                  <c:v>184.06976744186048</c:v>
                </c:pt>
              </c:numCache>
            </c:numRef>
          </c:val>
        </c:ser>
        <c:dLbls>
          <c:showLegendKey val="0"/>
          <c:showVal val="0"/>
          <c:showCatName val="0"/>
          <c:showSerName val="0"/>
          <c:showPercent val="0"/>
          <c:showBubbleSize val="0"/>
        </c:dLbls>
        <c:gapWidth val="219"/>
        <c:overlap val="-27"/>
        <c:axId val="2106568944"/>
        <c:axId val="2106554800"/>
      </c:barChart>
      <c:catAx>
        <c:axId val="210656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Campaign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54800"/>
        <c:crosses val="autoZero"/>
        <c:auto val="1"/>
        <c:lblAlgn val="ctr"/>
        <c:lblOffset val="100"/>
        <c:noMultiLvlLbl val="0"/>
      </c:catAx>
      <c:valAx>
        <c:axId val="2106554800"/>
        <c:scaling>
          <c:orientation val="minMax"/>
        </c:scaling>
        <c:delete val="1"/>
        <c:axPos val="l"/>
        <c:numFmt formatCode="General" sourceLinked="1"/>
        <c:majorTickMark val="none"/>
        <c:minorTickMark val="none"/>
        <c:tickLblPos val="nextTo"/>
        <c:crossAx val="210656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Analysis.xlsx]Task5 Campaign Effectiveness!PivotTable9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Eng.rate</a:t>
            </a:r>
            <a:r>
              <a:rPr lang="en-US" baseline="0"/>
              <a:t>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'Task5 Campaign Effectiveness'!$B$17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'Task5 Campaign Effectiveness'!$A$18:$A$19</c:f>
              <c:strCache>
                <c:ptCount val="1"/>
                <c:pt idx="0">
                  <c:v>ChillVibes</c:v>
                </c:pt>
              </c:strCache>
            </c:strRef>
          </c:cat>
          <c:val>
            <c:numRef>
              <c:f>'Task5 Campaign Effectiveness'!$B$18:$B$19</c:f>
              <c:numCache>
                <c:formatCode>0.0%</c:formatCode>
                <c:ptCount val="1"/>
                <c:pt idx="0">
                  <c:v>9.8005197244710199E-2</c:v>
                </c:pt>
              </c:numCache>
            </c:numRef>
          </c:val>
        </c:ser>
        <c:dLbls>
          <c:dLblPos val="outEnd"/>
          <c:showLegendKey val="0"/>
          <c:showVal val="1"/>
          <c:showCatName val="0"/>
          <c:showSerName val="0"/>
          <c:showPercent val="0"/>
          <c:showBubbleSize val="0"/>
        </c:dLbls>
        <c:gapWidth val="219"/>
        <c:overlap val="-27"/>
        <c:axId val="2106560784"/>
        <c:axId val="2105696416"/>
      </c:barChart>
      <c:catAx>
        <c:axId val="210656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Campaign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6416"/>
        <c:crosses val="autoZero"/>
        <c:auto val="1"/>
        <c:lblAlgn val="ctr"/>
        <c:lblOffset val="100"/>
        <c:noMultiLvlLbl val="0"/>
      </c:catAx>
      <c:valAx>
        <c:axId val="2105696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2106560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Analysis.xlsx]Task5 Campaign Effectiveness!PivotTable10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Engagement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'Task5 Campaign Effectiveness'!$B$30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'Task5 Campaign Effectiveness'!$A$31:$A$32</c:f>
              <c:strCache>
                <c:ptCount val="2"/>
                <c:pt idx="0">
                  <c:v>Instagram</c:v>
                </c:pt>
                <c:pt idx="1">
                  <c:v>Twitter</c:v>
                </c:pt>
              </c:strCache>
            </c:strRef>
          </c:cat>
          <c:val>
            <c:numRef>
              <c:f>'Task5 Campaign Effectiveness'!$B$31:$B$32</c:f>
              <c:numCache>
                <c:formatCode>0</c:formatCode>
                <c:ptCount val="2"/>
                <c:pt idx="0">
                  <c:v>111180</c:v>
                </c:pt>
                <c:pt idx="1">
                  <c:v>195243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Analysis.xlsx]Task4 Hashtag and content...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Hashtags</a:t>
            </a:r>
            <a:r>
              <a:rPr lang="en-IN" baseline="0"/>
              <a:t> by count and avg. eng.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'Task4 Hashtag and content... '!$B$3</c:f>
              <c:strCache>
                <c:ptCount val="1"/>
                <c:pt idx="0">
                  <c:v>Count of Hashtags Used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'!$A$4:$A$5</c:f>
              <c:strCache>
                <c:ptCount val="2"/>
                <c:pt idx="0">
                  <c:v>#MusicForEveryone</c:v>
                </c:pt>
                <c:pt idx="1">
                  <c:v>#SoundtrackOfLife</c:v>
                </c:pt>
              </c:strCache>
            </c:strRef>
          </c:cat>
          <c:val>
            <c:numRef>
              <c:f>'Task4 Hashtag and content... '!$B$4:$B$5</c:f>
              <c:numCache>
                <c:formatCode>General</c:formatCode>
                <c:ptCount val="2"/>
                <c:pt idx="0">
                  <c:v>33</c:v>
                </c:pt>
                <c:pt idx="1">
                  <c:v>53</c:v>
                </c:pt>
              </c:numCache>
            </c:numRef>
          </c:val>
        </c:ser>
        <c:ser>
          <c:idx val="1"/>
          <c:order val="1"/>
          <c:tx>
            <c:strRef>
              <c:f>'Task4 Hashtag and content... '!$C$3</c:f>
              <c:strCache>
                <c:ptCount val="1"/>
                <c:pt idx="0">
                  <c:v>Average of Total Engagement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'!$A$4:$A$5</c:f>
              <c:strCache>
                <c:ptCount val="2"/>
                <c:pt idx="0">
                  <c:v>#MusicForEveryone</c:v>
                </c:pt>
                <c:pt idx="1">
                  <c:v>#SoundtrackOfLife</c:v>
                </c:pt>
              </c:strCache>
            </c:strRef>
          </c:cat>
          <c:val>
            <c:numRef>
              <c:f>'Task4 Hashtag and content... '!$C$4:$C$5</c:f>
              <c:numCache>
                <c:formatCode>0</c:formatCode>
                <c:ptCount val="2"/>
                <c:pt idx="0">
                  <c:v>121884</c:v>
                </c:pt>
                <c:pt idx="1">
                  <c:v>184539</c:v>
                </c:pt>
              </c:numCache>
            </c:numRef>
          </c:val>
        </c:ser>
        <c:dLbls>
          <c:dLblPos val="outEnd"/>
          <c:showLegendKey val="0"/>
          <c:showVal val="1"/>
          <c:showCatName val="0"/>
          <c:showSerName val="0"/>
          <c:showPercent val="0"/>
          <c:showBubbleSize val="0"/>
        </c:dLbls>
        <c:gapWidth val="219"/>
        <c:overlap val="-27"/>
        <c:axId val="2105702944"/>
        <c:axId val="2105703488"/>
      </c:barChart>
      <c:catAx>
        <c:axId val="210570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703488"/>
        <c:crosses val="autoZero"/>
        <c:auto val="1"/>
        <c:lblAlgn val="ctr"/>
        <c:lblOffset val="100"/>
        <c:noMultiLvlLbl val="0"/>
      </c:catAx>
      <c:valAx>
        <c:axId val="210570348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r>
                  <a:rPr lang="en-IN" baseline="0"/>
                  <a:t> c</a:t>
                </a:r>
                <a:r>
                  <a:rPr lang="en-IN"/>
                  <a:t>ount</a:t>
                </a:r>
                <a:r>
                  <a:rPr lang="en-IN" baseline="0"/>
                  <a:t> and avg. Engagemnt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105702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Analysis.xlsx]Task4 Hashtag and content...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Hashtags</a:t>
            </a:r>
            <a:r>
              <a:rPr lang="en-IN" baseline="0"/>
              <a:t> by count and avg. eng.</a:t>
            </a:r>
            <a:endParaRPr lang="en-IN"/>
          </a:p>
        </c:rich>
      </c:tx>
      <c:layout>
        <c:manualLayout>
          <c:xMode val="edge"/>
          <c:yMode val="edge"/>
          <c:x val="0.21273088336741736"/>
          <c:y val="3.0676897871842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0.14249781277340332"/>
          <c:w val="0.93888888888888888"/>
          <c:h val="0.65853091280256637"/>
        </c:manualLayout>
      </c:layout>
      <c:barChart>
        <c:barDir val="col"/>
        <c:grouping val="clustered"/>
        <c:varyColors val="0"/>
        <c:ser>
          <c:idx val="0"/>
          <c:order val="0"/>
          <c:tx>
            <c:strRef>
              <c:f>'Task4 Hashtag and content... '!$B$10</c:f>
              <c:strCache>
                <c:ptCount val="1"/>
                <c:pt idx="0">
                  <c:v>Count of Hashtags Split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'!$A$11</c:f>
              <c:strCache>
                <c:ptCount val="1"/>
                <c:pt idx="0">
                  <c:v>#NowPlaying</c:v>
                </c:pt>
              </c:strCache>
            </c:strRef>
          </c:cat>
          <c:val>
            <c:numRef>
              <c:f>'Task4 Hashtag and content... '!$B$11</c:f>
              <c:numCache>
                <c:formatCode>General</c:formatCode>
                <c:ptCount val="1"/>
                <c:pt idx="0">
                  <c:v>86</c:v>
                </c:pt>
              </c:numCache>
            </c:numRef>
          </c:val>
        </c:ser>
        <c:ser>
          <c:idx val="1"/>
          <c:order val="1"/>
          <c:tx>
            <c:strRef>
              <c:f>'Task4 Hashtag and content... '!$C$10</c:f>
              <c:strCache>
                <c:ptCount val="1"/>
                <c:pt idx="0">
                  <c:v>Average of Total Engagement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'!$A$11</c:f>
              <c:strCache>
                <c:ptCount val="1"/>
                <c:pt idx="0">
                  <c:v>#NowPlaying</c:v>
                </c:pt>
              </c:strCache>
            </c:strRef>
          </c:cat>
          <c:val>
            <c:numRef>
              <c:f>'Task4 Hashtag and content... '!$C$11</c:f>
              <c:numCache>
                <c:formatCode>0</c:formatCode>
                <c:ptCount val="1"/>
                <c:pt idx="0">
                  <c:v>306423</c:v>
                </c:pt>
              </c:numCache>
            </c:numRef>
          </c:val>
        </c:ser>
        <c:dLbls>
          <c:dLblPos val="outEnd"/>
          <c:showLegendKey val="0"/>
          <c:showVal val="1"/>
          <c:showCatName val="0"/>
          <c:showSerName val="0"/>
          <c:showPercent val="0"/>
          <c:showBubbleSize val="0"/>
        </c:dLbls>
        <c:gapWidth val="219"/>
        <c:overlap val="-27"/>
        <c:axId val="2105694784"/>
        <c:axId val="2105695328"/>
      </c:barChart>
      <c:catAx>
        <c:axId val="2105694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5328"/>
        <c:crosses val="autoZero"/>
        <c:auto val="1"/>
        <c:lblAlgn val="ctr"/>
        <c:lblOffset val="100"/>
        <c:noMultiLvlLbl val="0"/>
      </c:catAx>
      <c:valAx>
        <c:axId val="210569532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r>
                  <a:rPr lang="en-IN" baseline="0"/>
                  <a:t> count and avg. Engagement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105694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Analysis.xlsx]Task4 Hashtag and content...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Content type by platform by avg. eng.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'Task4 Hashtag and content... '!$B$19:$B$20</c:f>
              <c:strCache>
                <c:ptCount val="1"/>
                <c:pt idx="0">
                  <c:v>Story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'!$A$21:$A$22</c:f>
              <c:strCache>
                <c:ptCount val="2"/>
                <c:pt idx="0">
                  <c:v>Instagram</c:v>
                </c:pt>
                <c:pt idx="1">
                  <c:v>Twitter</c:v>
                </c:pt>
              </c:strCache>
            </c:strRef>
          </c:cat>
          <c:val>
            <c:numRef>
              <c:f>'Task4 Hashtag and content... '!$B$21:$B$22</c:f>
              <c:numCache>
                <c:formatCode>0.00%</c:formatCode>
                <c:ptCount val="2"/>
                <c:pt idx="1">
                  <c:v>0.1042061943385596</c:v>
                </c:pt>
              </c:numCache>
            </c:numRef>
          </c:val>
        </c:ser>
        <c:ser>
          <c:idx val="1"/>
          <c:order val="1"/>
          <c:tx>
            <c:strRef>
              <c:f>'Task4 Hashtag and content... '!$C$19:$C$20</c:f>
              <c:strCache>
                <c:ptCount val="1"/>
                <c:pt idx="0">
                  <c:v>Text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'Task4 Hashtag and content... '!$A$21:$A$22</c:f>
              <c:strCache>
                <c:ptCount val="2"/>
                <c:pt idx="0">
                  <c:v>Instagram</c:v>
                </c:pt>
                <c:pt idx="1">
                  <c:v>Twitter</c:v>
                </c:pt>
              </c:strCache>
            </c:strRef>
          </c:cat>
          <c:val>
            <c:numRef>
              <c:f>'Task4 Hashtag and content... '!$C$21:$C$22</c:f>
              <c:numCache>
                <c:formatCode>0.00%</c:formatCode>
                <c:ptCount val="2"/>
                <c:pt idx="0">
                  <c:v>8.8046020093982283E-2</c:v>
                </c:pt>
              </c:numCache>
            </c:numRef>
          </c:val>
        </c:ser>
        <c:dLbls>
          <c:dLblPos val="outEnd"/>
          <c:showLegendKey val="0"/>
          <c:showVal val="1"/>
          <c:showCatName val="0"/>
          <c:showSerName val="0"/>
          <c:showPercent val="0"/>
          <c:showBubbleSize val="0"/>
        </c:dLbls>
        <c:gapWidth val="182"/>
        <c:axId val="2105697504"/>
        <c:axId val="2105700224"/>
      </c:barChart>
      <c:catAx>
        <c:axId val="2105697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700224"/>
        <c:crosses val="autoZero"/>
        <c:auto val="1"/>
        <c:lblAlgn val="ctr"/>
        <c:lblOffset val="100"/>
        <c:noMultiLvlLbl val="0"/>
      </c:catAx>
      <c:valAx>
        <c:axId val="210570022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1056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a:t>
            </a:r>
            <a:r>
              <a:rPr lang="en-US" baseline="0"/>
              <a:t> By Eng.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 Platform Performance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Platform Performance '!$A$4:$A$5</c:f>
              <c:strCache>
                <c:ptCount val="2"/>
                <c:pt idx="0">
                  <c:v>Instagram</c:v>
                </c:pt>
                <c:pt idx="1">
                  <c:v>Twitter</c:v>
                </c:pt>
              </c:strCache>
            </c:strRef>
          </c:cat>
          <c:val>
            <c:numRef>
              <c:f>'Task 3 Platform Performance '!$B$4:$B$5</c:f>
              <c:numCache>
                <c:formatCode>0.00%</c:formatCode>
                <c:ptCount val="2"/>
                <c:pt idx="0">
                  <c:v>8.8046020093982283E-2</c:v>
                </c:pt>
                <c:pt idx="1">
                  <c:v>0.1042061943385596</c:v>
                </c:pt>
              </c:numCache>
            </c:numRef>
          </c:val>
        </c:ser>
        <c:dLbls>
          <c:dLblPos val="outEnd"/>
          <c:showLegendKey val="0"/>
          <c:showVal val="1"/>
          <c:showCatName val="0"/>
          <c:showSerName val="0"/>
          <c:showPercent val="0"/>
          <c:showBubbleSize val="0"/>
        </c:dLbls>
        <c:gapWidth val="182"/>
        <c:axId val="2105692608"/>
        <c:axId val="2105690432"/>
      </c:barChart>
      <c:catAx>
        <c:axId val="2105692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0432"/>
        <c:crosses val="autoZero"/>
        <c:auto val="1"/>
        <c:lblAlgn val="ctr"/>
        <c:lblOffset val="100"/>
        <c:noMultiLvlLbl val="0"/>
      </c:catAx>
      <c:valAx>
        <c:axId val="210569043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105692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follower growth rates across platforms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cked"/>
        <c:varyColors val="0"/>
        <c:ser>
          <c:idx val="0"/>
          <c:order val="0"/>
          <c:tx>
            <c:strRef>
              <c:f>'Task 3 Platform Performance '!$B$10:$B$11</c:f>
              <c:strCache>
                <c:ptCount val="1"/>
                <c:pt idx="0">
                  <c:v>Instagram</c:v>
                </c:pt>
              </c:strCache>
            </c:strRef>
          </c:tx>
          <c:spPr>
            <a:ln w="28575" cap="rnd">
              <a:solidFill>
                <a:schemeClr val="accent1"/>
              </a:solidFill>
              <a:round/>
            </a:ln>
            <a:effectLst/>
          </c:spPr>
          <c:marker>
            <c:symbol val="none"/>
          </c:marker>
          <c:cat>
            <c:strRef>
              <c:f>'Task 3 Platform Performance '!$A$12:$A$78</c:f>
              <c:strCache>
                <c:ptCount val="67"/>
                <c:pt idx="0">
                  <c:v>08-09-2025</c:v>
                </c:pt>
                <c:pt idx="1">
                  <c:v>01-09-2025</c:v>
                </c:pt>
                <c:pt idx="2">
                  <c:v>25-08-2025</c:v>
                </c:pt>
                <c:pt idx="3">
                  <c:v>18-08-2025</c:v>
                </c:pt>
                <c:pt idx="4">
                  <c:v>11-08-2025</c:v>
                </c:pt>
                <c:pt idx="5">
                  <c:v>04-08-2025</c:v>
                </c:pt>
                <c:pt idx="6">
                  <c:v>28-07-2025</c:v>
                </c:pt>
                <c:pt idx="7">
                  <c:v>21-07-2025</c:v>
                </c:pt>
                <c:pt idx="8">
                  <c:v>14-07-2025</c:v>
                </c:pt>
                <c:pt idx="9">
                  <c:v>07-07-2025</c:v>
                </c:pt>
                <c:pt idx="10">
                  <c:v>30-06-2025</c:v>
                </c:pt>
                <c:pt idx="11">
                  <c:v>23-06-2025</c:v>
                </c:pt>
                <c:pt idx="12">
                  <c:v>16-06-2025</c:v>
                </c:pt>
                <c:pt idx="13">
                  <c:v>09-06-2025</c:v>
                </c:pt>
                <c:pt idx="14">
                  <c:v>02-06-2025</c:v>
                </c:pt>
                <c:pt idx="15">
                  <c:v>26-05-2025</c:v>
                </c:pt>
                <c:pt idx="16">
                  <c:v>19-05-2025</c:v>
                </c:pt>
                <c:pt idx="17">
                  <c:v>12-05-2025</c:v>
                </c:pt>
                <c:pt idx="18">
                  <c:v>05-05-2025</c:v>
                </c:pt>
                <c:pt idx="19">
                  <c:v>28-04-2025</c:v>
                </c:pt>
                <c:pt idx="20">
                  <c:v>21-04-2025</c:v>
                </c:pt>
                <c:pt idx="21">
                  <c:v>14-04-2025</c:v>
                </c:pt>
                <c:pt idx="22">
                  <c:v>07-04-2025</c:v>
                </c:pt>
                <c:pt idx="23">
                  <c:v>31-03-2025</c:v>
                </c:pt>
                <c:pt idx="24">
                  <c:v>24-03-2025</c:v>
                </c:pt>
                <c:pt idx="25">
                  <c:v>17-03-2025</c:v>
                </c:pt>
                <c:pt idx="26">
                  <c:v>10-03-2025</c:v>
                </c:pt>
                <c:pt idx="27">
                  <c:v>03-03-2025</c:v>
                </c:pt>
                <c:pt idx="28">
                  <c:v>24-02-2025</c:v>
                </c:pt>
                <c:pt idx="29">
                  <c:v>17-02-2025</c:v>
                </c:pt>
                <c:pt idx="30">
                  <c:v>10-02-2025</c:v>
                </c:pt>
                <c:pt idx="31">
                  <c:v>03-02-2025</c:v>
                </c:pt>
                <c:pt idx="32">
                  <c:v>27-01-2025</c:v>
                </c:pt>
                <c:pt idx="33">
                  <c:v>20-01-2025</c:v>
                </c:pt>
                <c:pt idx="34">
                  <c:v>13-01-2025</c:v>
                </c:pt>
                <c:pt idx="35">
                  <c:v>06-01-2025</c:v>
                </c:pt>
                <c:pt idx="36">
                  <c:v>30-12-2024</c:v>
                </c:pt>
                <c:pt idx="37">
                  <c:v>23-12-2024</c:v>
                </c:pt>
                <c:pt idx="38">
                  <c:v>16-12-2024</c:v>
                </c:pt>
                <c:pt idx="39">
                  <c:v>09-12-2024</c:v>
                </c:pt>
                <c:pt idx="40">
                  <c:v>02-12-2024</c:v>
                </c:pt>
                <c:pt idx="41">
                  <c:v>25-11-2024</c:v>
                </c:pt>
                <c:pt idx="42">
                  <c:v>18-11-2024</c:v>
                </c:pt>
                <c:pt idx="43">
                  <c:v>11-11-2024</c:v>
                </c:pt>
                <c:pt idx="44">
                  <c:v>04-11-2024</c:v>
                </c:pt>
                <c:pt idx="45">
                  <c:v>28-10-2024</c:v>
                </c:pt>
                <c:pt idx="46">
                  <c:v>21-10-2024</c:v>
                </c:pt>
                <c:pt idx="47">
                  <c:v>14-10-2024</c:v>
                </c:pt>
                <c:pt idx="48">
                  <c:v>07-10-2024</c:v>
                </c:pt>
                <c:pt idx="49">
                  <c:v>30-09-2024</c:v>
                </c:pt>
                <c:pt idx="50">
                  <c:v>23-09-2024</c:v>
                </c:pt>
                <c:pt idx="51">
                  <c:v>16-09-2024</c:v>
                </c:pt>
                <c:pt idx="52">
                  <c:v>09-09-2024</c:v>
                </c:pt>
                <c:pt idx="53">
                  <c:v>02-09-2024</c:v>
                </c:pt>
                <c:pt idx="54">
                  <c:v>26-08-2024</c:v>
                </c:pt>
                <c:pt idx="55">
                  <c:v>19-08-2024</c:v>
                </c:pt>
                <c:pt idx="56">
                  <c:v>12-08-2024</c:v>
                </c:pt>
                <c:pt idx="57">
                  <c:v>05-08-2024</c:v>
                </c:pt>
                <c:pt idx="58">
                  <c:v>29-07-2024</c:v>
                </c:pt>
                <c:pt idx="59">
                  <c:v>22-07-2024</c:v>
                </c:pt>
                <c:pt idx="60">
                  <c:v>15-07-2024</c:v>
                </c:pt>
                <c:pt idx="61">
                  <c:v>08-07-2024</c:v>
                </c:pt>
                <c:pt idx="62">
                  <c:v>01-07-2024</c:v>
                </c:pt>
                <c:pt idx="63">
                  <c:v>24-06-2024</c:v>
                </c:pt>
                <c:pt idx="64">
                  <c:v>17-06-2024</c:v>
                </c:pt>
                <c:pt idx="65">
                  <c:v>10-06-2024</c:v>
                </c:pt>
                <c:pt idx="66">
                  <c:v>03-06-2024</c:v>
                </c:pt>
              </c:strCache>
            </c:strRef>
          </c:cat>
          <c:val>
            <c:numRef>
              <c:f>'Task 3 Platform Performance '!$B$12:$B$78</c:f>
              <c:numCache>
                <c:formatCode>0.00%</c:formatCode>
                <c:ptCount val="67"/>
                <c:pt idx="0">
                  <c:v>9.1194199159233963E-3</c:v>
                </c:pt>
                <c:pt idx="1">
                  <c:v>3.1996007837554212E-3</c:v>
                </c:pt>
                <c:pt idx="2">
                  <c:v>6.6754281661347186E-3</c:v>
                </c:pt>
                <c:pt idx="3">
                  <c:v>2.1136549728017671E-3</c:v>
                </c:pt>
                <c:pt idx="4">
                  <c:v>2.6309839468870114E-3</c:v>
                </c:pt>
                <c:pt idx="5">
                  <c:v>7.6555792759910937E-3</c:v>
                </c:pt>
                <c:pt idx="6">
                  <c:v>4.669318378338316E-3</c:v>
                </c:pt>
                <c:pt idx="7">
                  <c:v>7.4721268454424738E-3</c:v>
                </c:pt>
                <c:pt idx="8">
                  <c:v>9.827213822894169E-3</c:v>
                </c:pt>
                <c:pt idx="9">
                  <c:v>3.3512794144334888E-3</c:v>
                </c:pt>
                <c:pt idx="10">
                  <c:v>2.2401847575057735E-3</c:v>
                </c:pt>
                <c:pt idx="11">
                  <c:v>1.1452908859898713E-3</c:v>
                </c:pt>
                <c:pt idx="12">
                  <c:v>2.4617598408673293E-3</c:v>
                </c:pt>
                <c:pt idx="13">
                  <c:v>1.1327664328719508E-2</c:v>
                </c:pt>
                <c:pt idx="14">
                  <c:v>1.2413909189098204E-3</c:v>
                </c:pt>
                <c:pt idx="15">
                  <c:v>3.8281206906062111E-3</c:v>
                </c:pt>
                <c:pt idx="16">
                  <c:v>7.872087032172511E-3</c:v>
                </c:pt>
                <c:pt idx="17">
                  <c:v>1.5731300645365684E-3</c:v>
                </c:pt>
                <c:pt idx="18">
                  <c:v>2.5976522198761379E-3</c:v>
                </c:pt>
                <c:pt idx="19">
                  <c:v>3.7778051067623862E-3</c:v>
                </c:pt>
                <c:pt idx="20">
                  <c:v>1.0988053215795403E-3</c:v>
                </c:pt>
                <c:pt idx="21">
                  <c:v>1.9961869935398759E-3</c:v>
                </c:pt>
                <c:pt idx="22">
                  <c:v>3.9209705941868752E-3</c:v>
                </c:pt>
                <c:pt idx="23">
                  <c:v>3.1475371965261584E-3</c:v>
                </c:pt>
                <c:pt idx="24">
                  <c:v>3.0555240088474996E-3</c:v>
                </c:pt>
                <c:pt idx="25">
                  <c:v>1.9052058737091724E-3</c:v>
                </c:pt>
                <c:pt idx="26">
                  <c:v>1.8468941678809856E-3</c:v>
                </c:pt>
                <c:pt idx="27">
                  <c:v>1.0984575217286749E-2</c:v>
                </c:pt>
                <c:pt idx="28">
                  <c:v>1.0896826083196401E-3</c:v>
                </c:pt>
                <c:pt idx="29">
                  <c:v>4.0817246978170664E-3</c:v>
                </c:pt>
                <c:pt idx="30">
                  <c:v>3.0798747854185599E-3</c:v>
                </c:pt>
                <c:pt idx="31">
                  <c:v>2.3334666742861497E-3</c:v>
                </c:pt>
                <c:pt idx="32">
                  <c:v>9.2415931314094918E-4</c:v>
                </c:pt>
                <c:pt idx="33">
                  <c:v>1.3487040845594743E-3</c:v>
                </c:pt>
                <c:pt idx="34">
                  <c:v>1.3793673813581599E-3</c:v>
                </c:pt>
                <c:pt idx="35">
                  <c:v>3.1809630491290049E-3</c:v>
                </c:pt>
                <c:pt idx="36">
                  <c:v>1.7165562473503519E-3</c:v>
                </c:pt>
                <c:pt idx="37">
                  <c:v>4.8653658034289241E-3</c:v>
                </c:pt>
                <c:pt idx="38">
                  <c:v>6.506669773402458E-3</c:v>
                </c:pt>
                <c:pt idx="39">
                  <c:v>1.7677812464738406E-3</c:v>
                </c:pt>
                <c:pt idx="40">
                  <c:v>4.7176696580273365E-3</c:v>
                </c:pt>
                <c:pt idx="41">
                  <c:v>1.2759550523566889E-3</c:v>
                </c:pt>
                <c:pt idx="42">
                  <c:v>2.741648314656868E-3</c:v>
                </c:pt>
                <c:pt idx="43">
                  <c:v>3.9281193313061976E-3</c:v>
                </c:pt>
                <c:pt idx="44">
                  <c:v>3.6781918718691762E-3</c:v>
                </c:pt>
                <c:pt idx="45">
                  <c:v>3.8051035059458792E-3</c:v>
                </c:pt>
                <c:pt idx="46">
                  <c:v>1.0915497012055407E-2</c:v>
                </c:pt>
                <c:pt idx="47">
                  <c:v>4.7398149771776844E-3</c:v>
                </c:pt>
                <c:pt idx="48">
                  <c:v>1.7507375647522346E-3</c:v>
                </c:pt>
                <c:pt idx="49">
                  <c:v>3.0190531054641659E-3</c:v>
                </c:pt>
                <c:pt idx="50">
                  <c:v>1.3784135240572171E-2</c:v>
                </c:pt>
                <c:pt idx="51">
                  <c:v>1.8947546272643525E-3</c:v>
                </c:pt>
                <c:pt idx="52">
                  <c:v>1.7288453918263881E-3</c:v>
                </c:pt>
                <c:pt idx="53">
                  <c:v>1.5378321642822803E-3</c:v>
                </c:pt>
                <c:pt idx="54">
                  <c:v>5.2519335029163131E-3</c:v>
                </c:pt>
                <c:pt idx="55">
                  <c:v>2.5711521816608116E-3</c:v>
                </c:pt>
                <c:pt idx="56">
                  <c:v>1.4216285431581398E-2</c:v>
                </c:pt>
                <c:pt idx="57">
                  <c:v>6.7435554935305723E-3</c:v>
                </c:pt>
                <c:pt idx="58">
                  <c:v>2.3089717768720206E-3</c:v>
                </c:pt>
                <c:pt idx="59">
                  <c:v>3.8800515380583087E-3</c:v>
                </c:pt>
                <c:pt idx="60">
                  <c:v>2.1159343412017798E-3</c:v>
                </c:pt>
                <c:pt idx="61">
                  <c:v>1.9610667968164271E-3</c:v>
                </c:pt>
                <c:pt idx="62">
                  <c:v>3.9974246283906723E-3</c:v>
                </c:pt>
                <c:pt idx="63">
                  <c:v>7.0194756038813571E-3</c:v>
                </c:pt>
                <c:pt idx="64">
                  <c:v>6.1532043593888509E-3</c:v>
                </c:pt>
                <c:pt idx="65">
                  <c:v>1.0035253152237385E-2</c:v>
                </c:pt>
                <c:pt idx="66">
                  <c:v>1.0709526179733787E-2</c:v>
                </c:pt>
              </c:numCache>
            </c:numRef>
          </c:val>
          <c:smooth val="0"/>
        </c:ser>
        <c:ser>
          <c:idx val="1"/>
          <c:order val="1"/>
          <c:tx>
            <c:strRef>
              <c:f>'Task 3 Platform Performance '!$C$10:$C$11</c:f>
              <c:strCache>
                <c:ptCount val="1"/>
                <c:pt idx="0">
                  <c:v>Twitter</c:v>
                </c:pt>
              </c:strCache>
            </c:strRef>
          </c:tx>
          <c:spPr>
            <a:ln w="28575" cap="rnd">
              <a:solidFill>
                <a:schemeClr val="accent2"/>
              </a:solidFill>
              <a:round/>
            </a:ln>
            <a:effectLst/>
          </c:spPr>
          <c:marker>
            <c:symbol val="none"/>
          </c:marker>
          <c:cat>
            <c:strRef>
              <c:f>'Task 3 Platform Performance '!$A$12:$A$78</c:f>
              <c:strCache>
                <c:ptCount val="67"/>
                <c:pt idx="0">
                  <c:v>08-09-2025</c:v>
                </c:pt>
                <c:pt idx="1">
                  <c:v>01-09-2025</c:v>
                </c:pt>
                <c:pt idx="2">
                  <c:v>25-08-2025</c:v>
                </c:pt>
                <c:pt idx="3">
                  <c:v>18-08-2025</c:v>
                </c:pt>
                <c:pt idx="4">
                  <c:v>11-08-2025</c:v>
                </c:pt>
                <c:pt idx="5">
                  <c:v>04-08-2025</c:v>
                </c:pt>
                <c:pt idx="6">
                  <c:v>28-07-2025</c:v>
                </c:pt>
                <c:pt idx="7">
                  <c:v>21-07-2025</c:v>
                </c:pt>
                <c:pt idx="8">
                  <c:v>14-07-2025</c:v>
                </c:pt>
                <c:pt idx="9">
                  <c:v>07-07-2025</c:v>
                </c:pt>
                <c:pt idx="10">
                  <c:v>30-06-2025</c:v>
                </c:pt>
                <c:pt idx="11">
                  <c:v>23-06-2025</c:v>
                </c:pt>
                <c:pt idx="12">
                  <c:v>16-06-2025</c:v>
                </c:pt>
                <c:pt idx="13">
                  <c:v>09-06-2025</c:v>
                </c:pt>
                <c:pt idx="14">
                  <c:v>02-06-2025</c:v>
                </c:pt>
                <c:pt idx="15">
                  <c:v>26-05-2025</c:v>
                </c:pt>
                <c:pt idx="16">
                  <c:v>19-05-2025</c:v>
                </c:pt>
                <c:pt idx="17">
                  <c:v>12-05-2025</c:v>
                </c:pt>
                <c:pt idx="18">
                  <c:v>05-05-2025</c:v>
                </c:pt>
                <c:pt idx="19">
                  <c:v>28-04-2025</c:v>
                </c:pt>
                <c:pt idx="20">
                  <c:v>21-04-2025</c:v>
                </c:pt>
                <c:pt idx="21">
                  <c:v>14-04-2025</c:v>
                </c:pt>
                <c:pt idx="22">
                  <c:v>07-04-2025</c:v>
                </c:pt>
                <c:pt idx="23">
                  <c:v>31-03-2025</c:v>
                </c:pt>
                <c:pt idx="24">
                  <c:v>24-03-2025</c:v>
                </c:pt>
                <c:pt idx="25">
                  <c:v>17-03-2025</c:v>
                </c:pt>
                <c:pt idx="26">
                  <c:v>10-03-2025</c:v>
                </c:pt>
                <c:pt idx="27">
                  <c:v>03-03-2025</c:v>
                </c:pt>
                <c:pt idx="28">
                  <c:v>24-02-2025</c:v>
                </c:pt>
                <c:pt idx="29">
                  <c:v>17-02-2025</c:v>
                </c:pt>
                <c:pt idx="30">
                  <c:v>10-02-2025</c:v>
                </c:pt>
                <c:pt idx="31">
                  <c:v>03-02-2025</c:v>
                </c:pt>
                <c:pt idx="32">
                  <c:v>27-01-2025</c:v>
                </c:pt>
                <c:pt idx="33">
                  <c:v>20-01-2025</c:v>
                </c:pt>
                <c:pt idx="34">
                  <c:v>13-01-2025</c:v>
                </c:pt>
                <c:pt idx="35">
                  <c:v>06-01-2025</c:v>
                </c:pt>
                <c:pt idx="36">
                  <c:v>30-12-2024</c:v>
                </c:pt>
                <c:pt idx="37">
                  <c:v>23-12-2024</c:v>
                </c:pt>
                <c:pt idx="38">
                  <c:v>16-12-2024</c:v>
                </c:pt>
                <c:pt idx="39">
                  <c:v>09-12-2024</c:v>
                </c:pt>
                <c:pt idx="40">
                  <c:v>02-12-2024</c:v>
                </c:pt>
                <c:pt idx="41">
                  <c:v>25-11-2024</c:v>
                </c:pt>
                <c:pt idx="42">
                  <c:v>18-11-2024</c:v>
                </c:pt>
                <c:pt idx="43">
                  <c:v>11-11-2024</c:v>
                </c:pt>
                <c:pt idx="44">
                  <c:v>04-11-2024</c:v>
                </c:pt>
                <c:pt idx="45">
                  <c:v>28-10-2024</c:v>
                </c:pt>
                <c:pt idx="46">
                  <c:v>21-10-2024</c:v>
                </c:pt>
                <c:pt idx="47">
                  <c:v>14-10-2024</c:v>
                </c:pt>
                <c:pt idx="48">
                  <c:v>07-10-2024</c:v>
                </c:pt>
                <c:pt idx="49">
                  <c:v>30-09-2024</c:v>
                </c:pt>
                <c:pt idx="50">
                  <c:v>23-09-2024</c:v>
                </c:pt>
                <c:pt idx="51">
                  <c:v>16-09-2024</c:v>
                </c:pt>
                <c:pt idx="52">
                  <c:v>09-09-2024</c:v>
                </c:pt>
                <c:pt idx="53">
                  <c:v>02-09-2024</c:v>
                </c:pt>
                <c:pt idx="54">
                  <c:v>26-08-2024</c:v>
                </c:pt>
                <c:pt idx="55">
                  <c:v>19-08-2024</c:v>
                </c:pt>
                <c:pt idx="56">
                  <c:v>12-08-2024</c:v>
                </c:pt>
                <c:pt idx="57">
                  <c:v>05-08-2024</c:v>
                </c:pt>
                <c:pt idx="58">
                  <c:v>29-07-2024</c:v>
                </c:pt>
                <c:pt idx="59">
                  <c:v>22-07-2024</c:v>
                </c:pt>
                <c:pt idx="60">
                  <c:v>15-07-2024</c:v>
                </c:pt>
                <c:pt idx="61">
                  <c:v>08-07-2024</c:v>
                </c:pt>
                <c:pt idx="62">
                  <c:v>01-07-2024</c:v>
                </c:pt>
                <c:pt idx="63">
                  <c:v>24-06-2024</c:v>
                </c:pt>
                <c:pt idx="64">
                  <c:v>17-06-2024</c:v>
                </c:pt>
                <c:pt idx="65">
                  <c:v>10-06-2024</c:v>
                </c:pt>
                <c:pt idx="66">
                  <c:v>03-06-2024</c:v>
                </c:pt>
              </c:strCache>
            </c:strRef>
          </c:cat>
          <c:val>
            <c:numRef>
              <c:f>'Task 3 Platform Performance '!$C$12:$C$78</c:f>
              <c:numCache>
                <c:formatCode>0.00%</c:formatCode>
                <c:ptCount val="67"/>
                <c:pt idx="0">
                  <c:v>1.7666324429429343E-3</c:v>
                </c:pt>
                <c:pt idx="1">
                  <c:v>3.6710630280192063E-3</c:v>
                </c:pt>
                <c:pt idx="2">
                  <c:v>3.9399561477483558E-3</c:v>
                </c:pt>
                <c:pt idx="3">
                  <c:v>1.823480339105339E-3</c:v>
                </c:pt>
                <c:pt idx="4">
                  <c:v>6.0271996703070265E-3</c:v>
                </c:pt>
                <c:pt idx="5">
                  <c:v>1.8650998332996943E-3</c:v>
                </c:pt>
                <c:pt idx="6">
                  <c:v>1.0981480529715098E-2</c:v>
                </c:pt>
                <c:pt idx="7">
                  <c:v>3.1852844079273504E-3</c:v>
                </c:pt>
                <c:pt idx="8">
                  <c:v>1.5181988769584942E-3</c:v>
                </c:pt>
                <c:pt idx="9">
                  <c:v>2.6668250067122413E-3</c:v>
                </c:pt>
                <c:pt idx="10">
                  <c:v>1.208595326242385E-2</c:v>
                </c:pt>
                <c:pt idx="11">
                  <c:v>2.1127444317144686E-3</c:v>
                </c:pt>
                <c:pt idx="12">
                  <c:v>5.1721119722456512E-3</c:v>
                </c:pt>
                <c:pt idx="13">
                  <c:v>1.5942232850377457E-3</c:v>
                </c:pt>
                <c:pt idx="14">
                  <c:v>9.6542972769051369E-3</c:v>
                </c:pt>
                <c:pt idx="15">
                  <c:v>3.7470607409939207E-3</c:v>
                </c:pt>
                <c:pt idx="16">
                  <c:v>4.1466368206671319E-3</c:v>
                </c:pt>
                <c:pt idx="17">
                  <c:v>2.6547884187082403E-3</c:v>
                </c:pt>
                <c:pt idx="18">
                  <c:v>2.5507605115104954E-3</c:v>
                </c:pt>
                <c:pt idx="19">
                  <c:v>2.0509887813384732E-3</c:v>
                </c:pt>
                <c:pt idx="20">
                  <c:v>1.4351099955706482E-3</c:v>
                </c:pt>
                <c:pt idx="21">
                  <c:v>6.2397756485160086E-3</c:v>
                </c:pt>
                <c:pt idx="22">
                  <c:v>2.9814935695005556E-3</c:v>
                </c:pt>
                <c:pt idx="23">
                  <c:v>9.0792625187990864E-3</c:v>
                </c:pt>
                <c:pt idx="24">
                  <c:v>6.5302778380201933E-3</c:v>
                </c:pt>
                <c:pt idx="25">
                  <c:v>1.4348198375413667E-3</c:v>
                </c:pt>
                <c:pt idx="26">
                  <c:v>5.1540047386073422E-3</c:v>
                </c:pt>
                <c:pt idx="27">
                  <c:v>7.8900723125911749E-3</c:v>
                </c:pt>
                <c:pt idx="28">
                  <c:v>3.7818873758696555E-3</c:v>
                </c:pt>
                <c:pt idx="29">
                  <c:v>2.3280135960016494E-3</c:v>
                </c:pt>
                <c:pt idx="30">
                  <c:v>1.2038244241634072E-2</c:v>
                </c:pt>
                <c:pt idx="31">
                  <c:v>6.8852027382833069E-3</c:v>
                </c:pt>
                <c:pt idx="32">
                  <c:v>5.1939513477975013E-3</c:v>
                </c:pt>
                <c:pt idx="33">
                  <c:v>2.0100280520398473E-3</c:v>
                </c:pt>
                <c:pt idx="34">
                  <c:v>3.960732004118693E-3</c:v>
                </c:pt>
                <c:pt idx="35">
                  <c:v>8.2282093543773697E-3</c:v>
                </c:pt>
                <c:pt idx="36">
                  <c:v>3.7157691133055076E-3</c:v>
                </c:pt>
                <c:pt idx="37">
                  <c:v>6.4046760353189906E-3</c:v>
                </c:pt>
                <c:pt idx="38">
                  <c:v>2.7987701840030041E-3</c:v>
                </c:pt>
                <c:pt idx="39">
                  <c:v>3.8344284334702996E-3</c:v>
                </c:pt>
                <c:pt idx="40">
                  <c:v>7.8261885293774095E-3</c:v>
                </c:pt>
                <c:pt idx="41">
                  <c:v>4.2439230501565839E-3</c:v>
                </c:pt>
                <c:pt idx="42">
                  <c:v>5.0288483327232481E-3</c:v>
                </c:pt>
                <c:pt idx="43">
                  <c:v>2.6275238057607967E-3</c:v>
                </c:pt>
                <c:pt idx="44">
                  <c:v>3.9842122008616216E-3</c:v>
                </c:pt>
                <c:pt idx="45">
                  <c:v>1.5788005199153436E-3</c:v>
                </c:pt>
                <c:pt idx="46">
                  <c:v>5.3980915408646862E-3</c:v>
                </c:pt>
                <c:pt idx="47">
                  <c:v>1.8353650184906177E-3</c:v>
                </c:pt>
                <c:pt idx="48">
                  <c:v>2.8850860838862216E-3</c:v>
                </c:pt>
                <c:pt idx="49">
                  <c:v>4.6946006530167259E-3</c:v>
                </c:pt>
                <c:pt idx="50">
                  <c:v>3.305365562946797E-3</c:v>
                </c:pt>
                <c:pt idx="51">
                  <c:v>3.4796436801746559E-3</c:v>
                </c:pt>
                <c:pt idx="52">
                  <c:v>4.7123181781018424E-3</c:v>
                </c:pt>
                <c:pt idx="53">
                  <c:v>2.6618404566337186E-3</c:v>
                </c:pt>
                <c:pt idx="54">
                  <c:v>1.1090510417460359E-3</c:v>
                </c:pt>
                <c:pt idx="55">
                  <c:v>6.2169419806330862E-3</c:v>
                </c:pt>
                <c:pt idx="56">
                  <c:v>1.031124193757846E-2</c:v>
                </c:pt>
                <c:pt idx="57">
                  <c:v>4.3839826448522105E-3</c:v>
                </c:pt>
                <c:pt idx="58">
                  <c:v>5.2125958475504573E-3</c:v>
                </c:pt>
                <c:pt idx="59">
                  <c:v>1.3666228646517741E-3</c:v>
                </c:pt>
                <c:pt idx="60">
                  <c:v>4.1633646660018432E-3</c:v>
                </c:pt>
                <c:pt idx="61">
                  <c:v>1.7836234485988603E-2</c:v>
                </c:pt>
                <c:pt idx="62">
                  <c:v>2.7265062228494967E-3</c:v>
                </c:pt>
                <c:pt idx="63">
                  <c:v>8.7155963302752298E-3</c:v>
                </c:pt>
                <c:pt idx="64">
                  <c:v>5.2165710498603361E-3</c:v>
                </c:pt>
                <c:pt idx="65">
                  <c:v>4.247465810484582E-3</c:v>
                </c:pt>
                <c:pt idx="66">
                  <c:v>3.9875766588582107E-3</c:v>
                </c:pt>
              </c:numCache>
            </c:numRef>
          </c:val>
          <c:smooth val="0"/>
        </c:ser>
        <c:ser>
          <c:idx val="2"/>
          <c:order val="2"/>
          <c:tx>
            <c:strRef>
              <c:f>'Task 3 Platform Performance '!$D$10:$D$11</c:f>
              <c:strCache>
                <c:ptCount val="1"/>
                <c:pt idx="0">
                  <c:v>YouTube</c:v>
                </c:pt>
              </c:strCache>
            </c:strRef>
          </c:tx>
          <c:spPr>
            <a:ln w="28575" cap="rnd">
              <a:solidFill>
                <a:schemeClr val="accent3"/>
              </a:solidFill>
              <a:round/>
            </a:ln>
            <a:effectLst/>
          </c:spPr>
          <c:marker>
            <c:symbol val="none"/>
          </c:marker>
          <c:cat>
            <c:strRef>
              <c:f>'Task 3 Platform Performance '!$A$12:$A$78</c:f>
              <c:strCache>
                <c:ptCount val="67"/>
                <c:pt idx="0">
                  <c:v>08-09-2025</c:v>
                </c:pt>
                <c:pt idx="1">
                  <c:v>01-09-2025</c:v>
                </c:pt>
                <c:pt idx="2">
                  <c:v>25-08-2025</c:v>
                </c:pt>
                <c:pt idx="3">
                  <c:v>18-08-2025</c:v>
                </c:pt>
                <c:pt idx="4">
                  <c:v>11-08-2025</c:v>
                </c:pt>
                <c:pt idx="5">
                  <c:v>04-08-2025</c:v>
                </c:pt>
                <c:pt idx="6">
                  <c:v>28-07-2025</c:v>
                </c:pt>
                <c:pt idx="7">
                  <c:v>21-07-2025</c:v>
                </c:pt>
                <c:pt idx="8">
                  <c:v>14-07-2025</c:v>
                </c:pt>
                <c:pt idx="9">
                  <c:v>07-07-2025</c:v>
                </c:pt>
                <c:pt idx="10">
                  <c:v>30-06-2025</c:v>
                </c:pt>
                <c:pt idx="11">
                  <c:v>23-06-2025</c:v>
                </c:pt>
                <c:pt idx="12">
                  <c:v>16-06-2025</c:v>
                </c:pt>
                <c:pt idx="13">
                  <c:v>09-06-2025</c:v>
                </c:pt>
                <c:pt idx="14">
                  <c:v>02-06-2025</c:v>
                </c:pt>
                <c:pt idx="15">
                  <c:v>26-05-2025</c:v>
                </c:pt>
                <c:pt idx="16">
                  <c:v>19-05-2025</c:v>
                </c:pt>
                <c:pt idx="17">
                  <c:v>12-05-2025</c:v>
                </c:pt>
                <c:pt idx="18">
                  <c:v>05-05-2025</c:v>
                </c:pt>
                <c:pt idx="19">
                  <c:v>28-04-2025</c:v>
                </c:pt>
                <c:pt idx="20">
                  <c:v>21-04-2025</c:v>
                </c:pt>
                <c:pt idx="21">
                  <c:v>14-04-2025</c:v>
                </c:pt>
                <c:pt idx="22">
                  <c:v>07-04-2025</c:v>
                </c:pt>
                <c:pt idx="23">
                  <c:v>31-03-2025</c:v>
                </c:pt>
                <c:pt idx="24">
                  <c:v>24-03-2025</c:v>
                </c:pt>
                <c:pt idx="25">
                  <c:v>17-03-2025</c:v>
                </c:pt>
                <c:pt idx="26">
                  <c:v>10-03-2025</c:v>
                </c:pt>
                <c:pt idx="27">
                  <c:v>03-03-2025</c:v>
                </c:pt>
                <c:pt idx="28">
                  <c:v>24-02-2025</c:v>
                </c:pt>
                <c:pt idx="29">
                  <c:v>17-02-2025</c:v>
                </c:pt>
                <c:pt idx="30">
                  <c:v>10-02-2025</c:v>
                </c:pt>
                <c:pt idx="31">
                  <c:v>03-02-2025</c:v>
                </c:pt>
                <c:pt idx="32">
                  <c:v>27-01-2025</c:v>
                </c:pt>
                <c:pt idx="33">
                  <c:v>20-01-2025</c:v>
                </c:pt>
                <c:pt idx="34">
                  <c:v>13-01-2025</c:v>
                </c:pt>
                <c:pt idx="35">
                  <c:v>06-01-2025</c:v>
                </c:pt>
                <c:pt idx="36">
                  <c:v>30-12-2024</c:v>
                </c:pt>
                <c:pt idx="37">
                  <c:v>23-12-2024</c:v>
                </c:pt>
                <c:pt idx="38">
                  <c:v>16-12-2024</c:v>
                </c:pt>
                <c:pt idx="39">
                  <c:v>09-12-2024</c:v>
                </c:pt>
                <c:pt idx="40">
                  <c:v>02-12-2024</c:v>
                </c:pt>
                <c:pt idx="41">
                  <c:v>25-11-2024</c:v>
                </c:pt>
                <c:pt idx="42">
                  <c:v>18-11-2024</c:v>
                </c:pt>
                <c:pt idx="43">
                  <c:v>11-11-2024</c:v>
                </c:pt>
                <c:pt idx="44">
                  <c:v>04-11-2024</c:v>
                </c:pt>
                <c:pt idx="45">
                  <c:v>28-10-2024</c:v>
                </c:pt>
                <c:pt idx="46">
                  <c:v>21-10-2024</c:v>
                </c:pt>
                <c:pt idx="47">
                  <c:v>14-10-2024</c:v>
                </c:pt>
                <c:pt idx="48">
                  <c:v>07-10-2024</c:v>
                </c:pt>
                <c:pt idx="49">
                  <c:v>30-09-2024</c:v>
                </c:pt>
                <c:pt idx="50">
                  <c:v>23-09-2024</c:v>
                </c:pt>
                <c:pt idx="51">
                  <c:v>16-09-2024</c:v>
                </c:pt>
                <c:pt idx="52">
                  <c:v>09-09-2024</c:v>
                </c:pt>
                <c:pt idx="53">
                  <c:v>02-09-2024</c:v>
                </c:pt>
                <c:pt idx="54">
                  <c:v>26-08-2024</c:v>
                </c:pt>
                <c:pt idx="55">
                  <c:v>19-08-2024</c:v>
                </c:pt>
                <c:pt idx="56">
                  <c:v>12-08-2024</c:v>
                </c:pt>
                <c:pt idx="57">
                  <c:v>05-08-2024</c:v>
                </c:pt>
                <c:pt idx="58">
                  <c:v>29-07-2024</c:v>
                </c:pt>
                <c:pt idx="59">
                  <c:v>22-07-2024</c:v>
                </c:pt>
                <c:pt idx="60">
                  <c:v>15-07-2024</c:v>
                </c:pt>
                <c:pt idx="61">
                  <c:v>08-07-2024</c:v>
                </c:pt>
                <c:pt idx="62">
                  <c:v>01-07-2024</c:v>
                </c:pt>
                <c:pt idx="63">
                  <c:v>24-06-2024</c:v>
                </c:pt>
                <c:pt idx="64">
                  <c:v>17-06-2024</c:v>
                </c:pt>
                <c:pt idx="65">
                  <c:v>10-06-2024</c:v>
                </c:pt>
                <c:pt idx="66">
                  <c:v>03-06-2024</c:v>
                </c:pt>
              </c:strCache>
            </c:strRef>
          </c:cat>
          <c:val>
            <c:numRef>
              <c:f>'Task 3 Platform Performance '!$D$12:$D$78</c:f>
              <c:numCache>
                <c:formatCode>0.00%</c:formatCode>
                <c:ptCount val="67"/>
                <c:pt idx="1">
                  <c:v>7.9729048800556194E-4</c:v>
                </c:pt>
                <c:pt idx="2">
                  <c:v>3.5959985838152297E-3</c:v>
                </c:pt>
                <c:pt idx="3">
                  <c:v>5.5270456327116777E-3</c:v>
                </c:pt>
                <c:pt idx="4">
                  <c:v>6.6042394102916796E-3</c:v>
                </c:pt>
                <c:pt idx="5">
                  <c:v>3.9299078763469142E-3</c:v>
                </c:pt>
                <c:pt idx="6">
                  <c:v>1.7084647221127316E-2</c:v>
                </c:pt>
                <c:pt idx="7">
                  <c:v>3.2454858113287115E-3</c:v>
                </c:pt>
                <c:pt idx="8">
                  <c:v>2.6388003437092886E-3</c:v>
                </c:pt>
                <c:pt idx="9">
                  <c:v>3.1694785125105812E-3</c:v>
                </c:pt>
                <c:pt idx="10">
                  <c:v>6.4765009508285796E-3</c:v>
                </c:pt>
                <c:pt idx="11">
                  <c:v>3.3553365983339462E-3</c:v>
                </c:pt>
                <c:pt idx="12">
                  <c:v>5.4388566363352828E-3</c:v>
                </c:pt>
                <c:pt idx="13">
                  <c:v>4.1211031333606603E-3</c:v>
                </c:pt>
                <c:pt idx="14">
                  <c:v>4.9181461441388493E-3</c:v>
                </c:pt>
                <c:pt idx="15">
                  <c:v>2.005770990217468E-3</c:v>
                </c:pt>
                <c:pt idx="16">
                  <c:v>7.5491490264485411E-3</c:v>
                </c:pt>
                <c:pt idx="17">
                  <c:v>1.4915157677349929E-3</c:v>
                </c:pt>
                <c:pt idx="18">
                  <c:v>1.9790880672631238E-3</c:v>
                </c:pt>
                <c:pt idx="19">
                  <c:v>2.9339148299662998E-3</c:v>
                </c:pt>
                <c:pt idx="20">
                  <c:v>3.2565414723670183E-3</c:v>
                </c:pt>
                <c:pt idx="21">
                  <c:v>4.6142223427541986E-3</c:v>
                </c:pt>
                <c:pt idx="22">
                  <c:v>3.6902252215116576E-3</c:v>
                </c:pt>
                <c:pt idx="23">
                  <c:v>6.7594964249334932E-3</c:v>
                </c:pt>
                <c:pt idx="24">
                  <c:v>3.2720751898231166E-3</c:v>
                </c:pt>
                <c:pt idx="25">
                  <c:v>4.2810298761233904E-3</c:v>
                </c:pt>
                <c:pt idx="26">
                  <c:v>2.2450476889214967E-3</c:v>
                </c:pt>
                <c:pt idx="27">
                  <c:v>1.7409229805475531E-3</c:v>
                </c:pt>
                <c:pt idx="28">
                  <c:v>1.8949662755644234E-3</c:v>
                </c:pt>
                <c:pt idx="29">
                  <c:v>1.0583174536168594E-3</c:v>
                </c:pt>
                <c:pt idx="30">
                  <c:v>1.9357425118836263E-3</c:v>
                </c:pt>
                <c:pt idx="31">
                  <c:v>1.1697559866836308E-3</c:v>
                </c:pt>
                <c:pt idx="32">
                  <c:v>3.685623501752981E-3</c:v>
                </c:pt>
                <c:pt idx="33">
                  <c:v>2.5280739012313877E-3</c:v>
                </c:pt>
                <c:pt idx="34">
                  <c:v>2.9568975321278288E-3</c:v>
                </c:pt>
                <c:pt idx="35">
                  <c:v>2.8057492705051896E-3</c:v>
                </c:pt>
                <c:pt idx="36">
                  <c:v>4.3562203906807708E-3</c:v>
                </c:pt>
                <c:pt idx="37">
                  <c:v>2.60081206532016E-3</c:v>
                </c:pt>
                <c:pt idx="38">
                  <c:v>7.8332145402708487E-3</c:v>
                </c:pt>
                <c:pt idx="39">
                  <c:v>3.2086280175382597E-3</c:v>
                </c:pt>
                <c:pt idx="40">
                  <c:v>2.0028848369668811E-3</c:v>
                </c:pt>
                <c:pt idx="41">
                  <c:v>5.8524314976443207E-3</c:v>
                </c:pt>
                <c:pt idx="42">
                  <c:v>2.0449775112443779E-3</c:v>
                </c:pt>
                <c:pt idx="43">
                  <c:v>4.6556860536239985E-3</c:v>
                </c:pt>
                <c:pt idx="44">
                  <c:v>8.0175996088975802E-3</c:v>
                </c:pt>
                <c:pt idx="45">
                  <c:v>3.6774665438586984E-3</c:v>
                </c:pt>
                <c:pt idx="46">
                  <c:v>7.2173750633688196E-3</c:v>
                </c:pt>
                <c:pt idx="47">
                  <c:v>3.8177207407976638E-3</c:v>
                </c:pt>
                <c:pt idx="48">
                  <c:v>8.0878372132944243E-3</c:v>
                </c:pt>
                <c:pt idx="49">
                  <c:v>3.2768049617799048E-3</c:v>
                </c:pt>
                <c:pt idx="50">
                  <c:v>1.3748256088824177E-3</c:v>
                </c:pt>
                <c:pt idx="51">
                  <c:v>2.2541306944976669E-3</c:v>
                </c:pt>
                <c:pt idx="52">
                  <c:v>2.3319170287838973E-3</c:v>
                </c:pt>
                <c:pt idx="53">
                  <c:v>2.8775171297394605E-3</c:v>
                </c:pt>
                <c:pt idx="54">
                  <c:v>4.3018845648676966E-3</c:v>
                </c:pt>
                <c:pt idx="55">
                  <c:v>6.1138546368952043E-3</c:v>
                </c:pt>
                <c:pt idx="56">
                  <c:v>3.2668165162148292E-3</c:v>
                </c:pt>
                <c:pt idx="57">
                  <c:v>2.3829134417695176E-3</c:v>
                </c:pt>
                <c:pt idx="58">
                  <c:v>2.4107127645679174E-3</c:v>
                </c:pt>
                <c:pt idx="59">
                  <c:v>2.9558125725816196E-3</c:v>
                </c:pt>
                <c:pt idx="60">
                  <c:v>4.4074791828765565E-3</c:v>
                </c:pt>
                <c:pt idx="61">
                  <c:v>5.7836390843520723E-3</c:v>
                </c:pt>
                <c:pt idx="62">
                  <c:v>3.7184126339477423E-3</c:v>
                </c:pt>
                <c:pt idx="63">
                  <c:v>5.5548942586200059E-3</c:v>
                </c:pt>
                <c:pt idx="64">
                  <c:v>5.1990991422684362E-3</c:v>
                </c:pt>
                <c:pt idx="65">
                  <c:v>1.1541771253329111E-3</c:v>
                </c:pt>
                <c:pt idx="66">
                  <c:v>3.176300905893983E-3</c:v>
                </c:pt>
              </c:numCache>
            </c:numRef>
          </c:val>
          <c:smooth val="0"/>
        </c:ser>
        <c:dLbls>
          <c:showLegendKey val="0"/>
          <c:showVal val="0"/>
          <c:showCatName val="0"/>
          <c:showSerName val="0"/>
          <c:showPercent val="0"/>
          <c:showBubbleSize val="0"/>
        </c:dLbls>
        <c:smooth val="0"/>
        <c:axId val="2105698592"/>
        <c:axId val="2105701312"/>
      </c:lineChart>
      <c:catAx>
        <c:axId val="210569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Week</a:t>
                </a:r>
                <a:r>
                  <a:rPr lang="en-IN" baseline="0"/>
                  <a:t> date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701312"/>
        <c:crosses val="autoZero"/>
        <c:auto val="1"/>
        <c:lblAlgn val="ctr"/>
        <c:lblOffset val="100"/>
        <c:noMultiLvlLbl val="0"/>
      </c:catAx>
      <c:valAx>
        <c:axId val="2105701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Follower</a:t>
                </a:r>
                <a:r>
                  <a:rPr lang="en-IN" baseline="0"/>
                  <a:t> </a:t>
                </a:r>
                <a:r>
                  <a:rPr lang="en-IN"/>
                  <a:t>Growth</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!PivotTable9</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Ad_spend By platform</a:t>
            </a:r>
            <a:endParaRPr lang="en-IN">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 Platform Performance '!$B$83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Platform Performance '!$A$84:$A$86</c:f>
              <c:strCache>
                <c:ptCount val="3"/>
                <c:pt idx="0">
                  <c:v>Instagram</c:v>
                </c:pt>
                <c:pt idx="1">
                  <c:v>Twitter</c:v>
                </c:pt>
                <c:pt idx="2">
                  <c:v>YouTube</c:v>
                </c:pt>
              </c:strCache>
            </c:strRef>
          </c:cat>
          <c:val>
            <c:numRef>
              <c:f>'Task 3 Platform Performance '!$B$84:$B$86</c:f>
              <c:numCache>
                <c:formatCode>0</c:formatCode>
                <c:ptCount val="3"/>
                <c:pt idx="0">
                  <c:v>15461.820895522387</c:v>
                </c:pt>
                <c:pt idx="1">
                  <c:v>16629.910447761195</c:v>
                </c:pt>
                <c:pt idx="2">
                  <c:v>16148.212121212122</c:v>
                </c:pt>
              </c:numCache>
            </c:numRef>
          </c:val>
        </c:ser>
        <c:dLbls>
          <c:dLblPos val="outEnd"/>
          <c:showLegendKey val="0"/>
          <c:showVal val="1"/>
          <c:showCatName val="0"/>
          <c:showSerName val="0"/>
          <c:showPercent val="0"/>
          <c:showBubbleSize val="0"/>
        </c:dLbls>
        <c:gapWidth val="219"/>
        <c:overlap val="-27"/>
        <c:axId val="2107628832"/>
        <c:axId val="2107632640"/>
      </c:barChart>
      <c:catAx>
        <c:axId val="2107628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32640"/>
        <c:crosses val="autoZero"/>
        <c:auto val="1"/>
        <c:lblAlgn val="ctr"/>
        <c:lblOffset val="100"/>
        <c:noMultiLvlLbl val="0"/>
      </c:catAx>
      <c:valAx>
        <c:axId val="210763264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Ad_Spend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10762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3 Platform Performance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t>
            </a:r>
            <a:r>
              <a:rPr lang="en-US" baseline="0"/>
              <a:t> rate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 Platform Performance '!$B$89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 Platform Performance '!$A$90:$A$91</c:f>
              <c:strCache>
                <c:ptCount val="2"/>
                <c:pt idx="0">
                  <c:v>Instagram</c:v>
                </c:pt>
                <c:pt idx="1">
                  <c:v>Twitter</c:v>
                </c:pt>
              </c:strCache>
            </c:strRef>
          </c:cat>
          <c:val>
            <c:numRef>
              <c:f>'Task 3 Platform Performance '!$B$90:$B$91</c:f>
              <c:numCache>
                <c:formatCode>0.00%</c:formatCode>
                <c:ptCount val="2"/>
                <c:pt idx="0">
                  <c:v>8.8046020093982283E-2</c:v>
                </c:pt>
                <c:pt idx="1">
                  <c:v>0.1042061943385596</c:v>
                </c:pt>
              </c:numCache>
            </c:numRef>
          </c:val>
        </c:ser>
        <c:dLbls>
          <c:dLblPos val="outEnd"/>
          <c:showLegendKey val="0"/>
          <c:showVal val="1"/>
          <c:showCatName val="0"/>
          <c:showSerName val="0"/>
          <c:showPercent val="0"/>
          <c:showBubbleSize val="0"/>
        </c:dLbls>
        <c:gapWidth val="219"/>
        <c:overlap val="-27"/>
        <c:axId val="2107621216"/>
        <c:axId val="2107617408"/>
      </c:barChart>
      <c:catAx>
        <c:axId val="210762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17408"/>
        <c:crosses val="autoZero"/>
        <c:auto val="1"/>
        <c:lblAlgn val="ctr"/>
        <c:lblOffset val="100"/>
        <c:noMultiLvlLbl val="0"/>
      </c:catAx>
      <c:valAx>
        <c:axId val="210761740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Engagemnet</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107621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Posts</a:t>
            </a:r>
            <a:r>
              <a:rPr lang="en-US" baseline="0"/>
              <a:t> by Eng.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  Engagement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Engagement Analysis'!$A$4:$A$13</c:f>
              <c:strCache>
                <c:ptCount val="10"/>
                <c:pt idx="0">
                  <c:v>Discover fresh beats on Spotify!</c:v>
                </c:pt>
                <c:pt idx="1">
                  <c:v>Explore the latest podcasts now.</c:v>
                </c:pt>
                <c:pt idx="2">
                  <c:v>From pop to podcasts, itâ€™s all here.</c:v>
                </c:pt>
                <c:pt idx="3">
                  <c:v>Get into the groove with our new drop!</c:v>
                </c:pt>
                <c:pt idx="4">
                  <c:v>Music that moves youâ€”only on Spotify.</c:v>
                </c:pt>
                <c:pt idx="5">
                  <c:v>New music just dropped. Hit play!</c:v>
                </c:pt>
                <c:pt idx="6">
                  <c:v>Top trending tracks updated daily!</c:v>
                </c:pt>
                <c:pt idx="7">
                  <c:v>Whatâ€™s your vibe today? #SpotifyHits</c:v>
                </c:pt>
                <c:pt idx="8">
                  <c:v>Wrapped is here! Relive your top tracks ðŸŽ§</c:v>
                </c:pt>
                <c:pt idx="9">
                  <c:v>Your weekend playlist is waiting.</c:v>
                </c:pt>
              </c:strCache>
            </c:strRef>
          </c:cat>
          <c:val>
            <c:numRef>
              <c:f>'Task 2  Engagement Analysis'!$B$4:$B$13</c:f>
              <c:numCache>
                <c:formatCode>0.00%</c:formatCode>
                <c:ptCount val="10"/>
                <c:pt idx="0">
                  <c:v>8.4147145780507721E-2</c:v>
                </c:pt>
                <c:pt idx="1">
                  <c:v>9.8512882188744086E-2</c:v>
                </c:pt>
                <c:pt idx="2">
                  <c:v>5.8569156787750744E-2</c:v>
                </c:pt>
                <c:pt idx="3">
                  <c:v>0.13289034049926018</c:v>
                </c:pt>
                <c:pt idx="4">
                  <c:v>9.4329923831438192E-2</c:v>
                </c:pt>
                <c:pt idx="5">
                  <c:v>0.1088306228101783</c:v>
                </c:pt>
                <c:pt idx="6">
                  <c:v>9.6066529170710527E-2</c:v>
                </c:pt>
                <c:pt idx="7">
                  <c:v>0.11163945284184459</c:v>
                </c:pt>
                <c:pt idx="8">
                  <c:v>9.0188295663678586E-2</c:v>
                </c:pt>
                <c:pt idx="9">
                  <c:v>8.590941260242746E-2</c:v>
                </c:pt>
              </c:numCache>
            </c:numRef>
          </c:val>
        </c:ser>
        <c:dLbls>
          <c:dLblPos val="outEnd"/>
          <c:showLegendKey val="0"/>
          <c:showVal val="1"/>
          <c:showCatName val="0"/>
          <c:showSerName val="0"/>
          <c:showPercent val="0"/>
          <c:showBubbleSize val="0"/>
        </c:dLbls>
        <c:gapWidth val="219"/>
        <c:overlap val="-27"/>
        <c:axId val="2107631552"/>
        <c:axId val="2107625024"/>
      </c:barChart>
      <c:catAx>
        <c:axId val="2107631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25024"/>
        <c:crosses val="autoZero"/>
        <c:auto val="1"/>
        <c:lblAlgn val="ctr"/>
        <c:lblOffset val="100"/>
        <c:noMultiLvlLbl val="0"/>
      </c:catAx>
      <c:valAx>
        <c:axId val="210762502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2107631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l,s,c, by Content type and platform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'Task 2  Engagement Analysis'!$B$17</c:f>
              <c:strCache>
                <c:ptCount val="1"/>
                <c:pt idx="0">
                  <c:v>Sum of Likes</c:v>
                </c:pt>
              </c:strCache>
            </c:strRef>
          </c:tx>
          <c:spPr>
            <a:solidFill>
              <a:schemeClr val="accent1"/>
            </a:solidFill>
            <a:ln>
              <a:noFill/>
            </a:ln>
            <a:effectLst/>
          </c:spPr>
          <c:invertIfNegative val="0"/>
          <c:cat>
            <c:multiLvlStrRef>
              <c:f>'Task 2  Engagement Analysis'!$A$18:$A$21</c:f>
              <c:multiLvlStrCache>
                <c:ptCount val="2"/>
                <c:lvl>
                  <c:pt idx="0">
                    <c:v>Text</c:v>
                  </c:pt>
                  <c:pt idx="1">
                    <c:v>Story</c:v>
                  </c:pt>
                </c:lvl>
                <c:lvl>
                  <c:pt idx="0">
                    <c:v>Instagram</c:v>
                  </c:pt>
                  <c:pt idx="1">
                    <c:v>Twitter</c:v>
                  </c:pt>
                </c:lvl>
              </c:multiLvlStrCache>
            </c:multiLvlStrRef>
          </c:cat>
          <c:val>
            <c:numRef>
              <c:f>'Task 2  Engagement Analysis'!$B$18:$B$21</c:f>
              <c:numCache>
                <c:formatCode>General</c:formatCode>
                <c:ptCount val="2"/>
                <c:pt idx="0">
                  <c:v>92898</c:v>
                </c:pt>
                <c:pt idx="1">
                  <c:v>167836</c:v>
                </c:pt>
              </c:numCache>
            </c:numRef>
          </c:val>
        </c:ser>
        <c:ser>
          <c:idx val="1"/>
          <c:order val="1"/>
          <c:tx>
            <c:strRef>
              <c:f>'Task 2  Engagement Analysis'!$C$17</c:f>
              <c:strCache>
                <c:ptCount val="1"/>
                <c:pt idx="0">
                  <c:v>Sum of Shares</c:v>
                </c:pt>
              </c:strCache>
            </c:strRef>
          </c:tx>
          <c:spPr>
            <a:solidFill>
              <a:schemeClr val="accent2"/>
            </a:solidFill>
            <a:ln>
              <a:noFill/>
            </a:ln>
            <a:effectLst/>
          </c:spPr>
          <c:invertIfNegative val="0"/>
          <c:cat>
            <c:multiLvlStrRef>
              <c:f>'Task 2  Engagement Analysis'!$A$18:$A$21</c:f>
              <c:multiLvlStrCache>
                <c:ptCount val="2"/>
                <c:lvl>
                  <c:pt idx="0">
                    <c:v>Text</c:v>
                  </c:pt>
                  <c:pt idx="1">
                    <c:v>Story</c:v>
                  </c:pt>
                </c:lvl>
                <c:lvl>
                  <c:pt idx="0">
                    <c:v>Instagram</c:v>
                  </c:pt>
                  <c:pt idx="1">
                    <c:v>Twitter</c:v>
                  </c:pt>
                </c:lvl>
              </c:multiLvlStrCache>
            </c:multiLvlStrRef>
          </c:cat>
          <c:val>
            <c:numRef>
              <c:f>'Task 2  Engagement Analysis'!$C$18:$C$21</c:f>
              <c:numCache>
                <c:formatCode>General</c:formatCode>
                <c:ptCount val="2"/>
                <c:pt idx="0">
                  <c:v>11075</c:v>
                </c:pt>
                <c:pt idx="1">
                  <c:v>15643</c:v>
                </c:pt>
              </c:numCache>
            </c:numRef>
          </c:val>
        </c:ser>
        <c:ser>
          <c:idx val="2"/>
          <c:order val="2"/>
          <c:tx>
            <c:strRef>
              <c:f>'Task 2  Engagement Analysis'!$D$17</c:f>
              <c:strCache>
                <c:ptCount val="1"/>
                <c:pt idx="0">
                  <c:v>Sum of Comments</c:v>
                </c:pt>
              </c:strCache>
            </c:strRef>
          </c:tx>
          <c:spPr>
            <a:solidFill>
              <a:schemeClr val="accent3"/>
            </a:solidFill>
            <a:ln>
              <a:noFill/>
            </a:ln>
            <a:effectLst/>
          </c:spPr>
          <c:invertIfNegative val="0"/>
          <c:cat>
            <c:multiLvlStrRef>
              <c:f>'Task 2  Engagement Analysis'!$A$18:$A$21</c:f>
              <c:multiLvlStrCache>
                <c:ptCount val="2"/>
                <c:lvl>
                  <c:pt idx="0">
                    <c:v>Text</c:v>
                  </c:pt>
                  <c:pt idx="1">
                    <c:v>Story</c:v>
                  </c:pt>
                </c:lvl>
                <c:lvl>
                  <c:pt idx="0">
                    <c:v>Instagram</c:v>
                  </c:pt>
                  <c:pt idx="1">
                    <c:v>Twitter</c:v>
                  </c:pt>
                </c:lvl>
              </c:multiLvlStrCache>
            </c:multiLvlStrRef>
          </c:cat>
          <c:val>
            <c:numRef>
              <c:f>'Task 2  Engagement Analysis'!$D$18:$D$21</c:f>
              <c:numCache>
                <c:formatCode>General</c:formatCode>
                <c:ptCount val="2"/>
                <c:pt idx="0">
                  <c:v>7207</c:v>
                </c:pt>
                <c:pt idx="1">
                  <c:v>11764</c:v>
                </c:pt>
              </c:numCache>
            </c:numRef>
          </c:val>
        </c:ser>
        <c:dLbls>
          <c:showLegendKey val="0"/>
          <c:showVal val="0"/>
          <c:showCatName val="0"/>
          <c:showSerName val="0"/>
          <c:showPercent val="0"/>
          <c:showBubbleSize val="0"/>
        </c:dLbls>
        <c:gapWidth val="219"/>
        <c:overlap val="-27"/>
        <c:axId val="2107632096"/>
        <c:axId val="2107624480"/>
      </c:barChart>
      <c:catAx>
        <c:axId val="210763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Platforms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24480"/>
        <c:crosses val="autoZero"/>
        <c:auto val="1"/>
        <c:lblAlgn val="ctr"/>
        <c:lblOffset val="100"/>
        <c:noMultiLvlLbl val="0"/>
      </c:catAx>
      <c:valAx>
        <c:axId val="2107624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Like, share, comments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3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clicks per hashtag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Engagement Analysis'!$B$30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Engagement Analysis'!$A$31:$A$32</c:f>
              <c:strCache>
                <c:ptCount val="2"/>
                <c:pt idx="0">
                  <c:v>#MusicForEveryone</c:v>
                </c:pt>
                <c:pt idx="1">
                  <c:v>#SoundtrackOfLife</c:v>
                </c:pt>
              </c:strCache>
            </c:strRef>
          </c:cat>
          <c:val>
            <c:numRef>
              <c:f>'Task 2  Engagement Analysis'!$B$31:$B$32</c:f>
              <c:numCache>
                <c:formatCode>0</c:formatCode>
                <c:ptCount val="2"/>
                <c:pt idx="0">
                  <c:v>171.87878787878788</c:v>
                </c:pt>
                <c:pt idx="1">
                  <c:v>191.66037735849056</c:v>
                </c:pt>
              </c:numCache>
            </c:numRef>
          </c:val>
        </c:ser>
        <c:dLbls>
          <c:dLblPos val="outEnd"/>
          <c:showLegendKey val="0"/>
          <c:showVal val="1"/>
          <c:showCatName val="0"/>
          <c:showSerName val="0"/>
          <c:showPercent val="0"/>
          <c:showBubbleSize val="0"/>
        </c:dLbls>
        <c:gapWidth val="182"/>
        <c:axId val="2107629920"/>
        <c:axId val="2107627200"/>
      </c:barChart>
      <c:catAx>
        <c:axId val="210762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27200"/>
        <c:crosses val="autoZero"/>
        <c:auto val="1"/>
        <c:lblAlgn val="ctr"/>
        <c:lblOffset val="100"/>
        <c:noMultiLvlLbl val="0"/>
      </c:catAx>
      <c:valAx>
        <c:axId val="210762720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Clicks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107629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Analysis.xlsx]Task 2  Engagement Analysis!PivotTable4</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Avg. clicks per hashtag</a:t>
            </a:r>
            <a:endParaRPr lang="en-IN">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Engagement Analysis'!$E$30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Engagement Analysis'!$D$31</c:f>
              <c:strCache>
                <c:ptCount val="1"/>
                <c:pt idx="0">
                  <c:v>#NowPlaying</c:v>
                </c:pt>
              </c:strCache>
            </c:strRef>
          </c:cat>
          <c:val>
            <c:numRef>
              <c:f>'Task 2  Engagement Analysis'!$E$31</c:f>
              <c:numCache>
                <c:formatCode>0</c:formatCode>
                <c:ptCount val="1"/>
                <c:pt idx="0">
                  <c:v>184.06976744186048</c:v>
                </c:pt>
              </c:numCache>
            </c:numRef>
          </c:val>
        </c:ser>
        <c:dLbls>
          <c:dLblPos val="outEnd"/>
          <c:showLegendKey val="0"/>
          <c:showVal val="1"/>
          <c:showCatName val="0"/>
          <c:showSerName val="0"/>
          <c:showPercent val="0"/>
          <c:showBubbleSize val="0"/>
        </c:dLbls>
        <c:gapWidth val="182"/>
        <c:axId val="2107631008"/>
        <c:axId val="2107619584"/>
      </c:barChart>
      <c:catAx>
        <c:axId val="2107631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Hashtag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619584"/>
        <c:crosses val="autoZero"/>
        <c:auto val="1"/>
        <c:lblAlgn val="ctr"/>
        <c:lblOffset val="100"/>
        <c:noMultiLvlLbl val="0"/>
      </c:catAx>
      <c:valAx>
        <c:axId val="210761958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Clicks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107631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2</xdr:col>
      <xdr:colOff>370114</xdr:colOff>
      <xdr:row>3</xdr:row>
      <xdr:rowOff>121920</xdr:rowOff>
    </xdr:from>
    <xdr:to>
      <xdr:col>10</xdr:col>
      <xdr:colOff>228600</xdr:colOff>
      <xdr:row>16</xdr:row>
      <xdr:rowOff>130628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243839</xdr:colOff>
      <xdr:row>3</xdr:row>
      <xdr:rowOff>108858</xdr:rowOff>
    </xdr:from>
    <xdr:to>
      <xdr:col>18</xdr:col>
      <xdr:colOff>413656</xdr:colOff>
      <xdr:row>16</xdr:row>
      <xdr:rowOff>114301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16</xdr:row>
      <xdr:rowOff>160020</xdr:rowOff>
    </xdr:from>
    <xdr:to>
      <xdr:col>7</xdr:col>
      <xdr:colOff>457200</xdr:colOff>
      <xdr:row>28</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472440</xdr:colOff>
      <xdr:row>16</xdr:row>
      <xdr:rowOff>167639</xdr:rowOff>
    </xdr:from>
    <xdr:to>
      <xdr:col>13</xdr:col>
      <xdr:colOff>87086</xdr:colOff>
      <xdr:row>28</xdr:row>
      <xdr:rowOff>10884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16</xdr:row>
      <xdr:rowOff>134982</xdr:rowOff>
    </xdr:from>
    <xdr:to>
      <xdr:col>18</xdr:col>
      <xdr:colOff>404948</xdr:colOff>
      <xdr:row>28</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478971</xdr:colOff>
      <xdr:row>28</xdr:row>
      <xdr:rowOff>30480</xdr:rowOff>
    </xdr:from>
    <xdr:to>
      <xdr:col>18</xdr:col>
      <xdr:colOff>391886</xdr:colOff>
      <xdr:row>45</xdr:row>
      <xdr:rowOff>54429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458288</xdr:colOff>
      <xdr:row>17</xdr:row>
      <xdr:rowOff>171995</xdr:rowOff>
    </xdr:from>
    <xdr:to>
      <xdr:col>24</xdr:col>
      <xdr:colOff>108857</xdr:colOff>
      <xdr:row>32</xdr:row>
      <xdr:rowOff>25038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459277</xdr:colOff>
      <xdr:row>3</xdr:row>
      <xdr:rowOff>73925</xdr:rowOff>
    </xdr:from>
    <xdr:to>
      <xdr:col>24</xdr:col>
      <xdr:colOff>54428</xdr:colOff>
      <xdr:row>17</xdr:row>
      <xdr:rowOff>132114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283029</xdr:colOff>
      <xdr:row>57</xdr:row>
      <xdr:rowOff>113803</xdr:rowOff>
    </xdr:from>
    <xdr:to>
      <xdr:col>18</xdr:col>
      <xdr:colOff>372094</xdr:colOff>
      <xdr:row>72</xdr:row>
      <xdr:rowOff>141513</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133896</xdr:colOff>
      <xdr:row>72</xdr:row>
      <xdr:rowOff>181792</xdr:rowOff>
    </xdr:from>
    <xdr:to>
      <xdr:col>9</xdr:col>
      <xdr:colOff>304800</xdr:colOff>
      <xdr:row>87</xdr:row>
      <xdr:rowOff>174172</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369422</xdr:colOff>
      <xdr:row>73</xdr:row>
      <xdr:rowOff>10984</xdr:rowOff>
    </xdr:from>
    <xdr:to>
      <xdr:col>18</xdr:col>
      <xdr:colOff>424542</xdr:colOff>
      <xdr:row>87</xdr:row>
      <xdr:rowOff>114893</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81642</xdr:colOff>
      <xdr:row>57</xdr:row>
      <xdr:rowOff>120832</xdr:rowOff>
    </xdr:from>
    <xdr:to>
      <xdr:col>9</xdr:col>
      <xdr:colOff>206830</xdr:colOff>
      <xdr:row>72</xdr:row>
      <xdr:rowOff>119743</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487681</xdr:colOff>
      <xdr:row>49</xdr:row>
      <xdr:rowOff>101236</xdr:rowOff>
    </xdr:from>
    <xdr:to>
      <xdr:col>24</xdr:col>
      <xdr:colOff>141515</xdr:colOff>
      <xdr:row>67</xdr:row>
      <xdr:rowOff>54428</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485502</xdr:colOff>
      <xdr:row>67</xdr:row>
      <xdr:rowOff>130628</xdr:rowOff>
    </xdr:from>
    <xdr:to>
      <xdr:col>24</xdr:col>
      <xdr:colOff>293915</xdr:colOff>
      <xdr:row>87</xdr:row>
      <xdr:rowOff>119743</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39187</xdr:colOff>
      <xdr:row>45</xdr:row>
      <xdr:rowOff>72935</xdr:rowOff>
    </xdr:from>
    <xdr:to>
      <xdr:col>18</xdr:col>
      <xdr:colOff>381000</xdr:colOff>
      <xdr:row>57</xdr:row>
      <xdr:rowOff>80555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3</xdr:row>
      <xdr:rowOff>106681</xdr:rowOff>
    </xdr:from>
    <xdr:to>
      <xdr:col>2</xdr:col>
      <xdr:colOff>293914</xdr:colOff>
      <xdr:row>9</xdr:row>
      <xdr:rowOff>160020</xdr:rowOff>
    </xdr:to>
    <mc:AlternateContent xmlns:mc="http://schemas.openxmlformats.org/markup-compatibility/2006" xmlns:a14="http://schemas.microsoft.com/office/drawing/2010/main">
      <mc:Choice Requires="a14">
        <xdr:graphicFrame macro="">
          <xdr:nvGraphicFramePr>
            <xdr:cNvPr id="24" name="Content Type"/>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0" y="859716"/>
              <a:ext cx="1513114" cy="1129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4355</xdr:rowOff>
    </xdr:from>
    <xdr:to>
      <xdr:col>2</xdr:col>
      <xdr:colOff>326570</xdr:colOff>
      <xdr:row>16</xdr:row>
      <xdr:rowOff>164375</xdr:rowOff>
    </xdr:to>
    <mc:AlternateContent xmlns:mc="http://schemas.openxmlformats.org/markup-compatibility/2006" xmlns:a14="http://schemas.microsoft.com/office/drawing/2010/main">
      <mc:Choice Requires="a14">
        <xdr:graphicFrame macro="">
          <xdr:nvGraphicFramePr>
            <xdr:cNvPr id="25" name="Platform"/>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2012449"/>
              <a:ext cx="1545770" cy="1235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106681</xdr:rowOff>
    </xdr:from>
    <xdr:to>
      <xdr:col>2</xdr:col>
      <xdr:colOff>370114</xdr:colOff>
      <xdr:row>26</xdr:row>
      <xdr:rowOff>87086</xdr:rowOff>
    </xdr:to>
    <mc:AlternateContent xmlns:mc="http://schemas.openxmlformats.org/markup-compatibility/2006" xmlns:a14="http://schemas.microsoft.com/office/drawing/2010/main">
      <mc:Choice Requires="a14">
        <xdr:graphicFrame macro="">
          <xdr:nvGraphicFramePr>
            <xdr:cNvPr id="26" name="Campaign_Name"/>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0" y="3369834"/>
              <a:ext cx="1589314" cy="1594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36</xdr:row>
      <xdr:rowOff>77290</xdr:rowOff>
    </xdr:from>
    <xdr:to>
      <xdr:col>2</xdr:col>
      <xdr:colOff>370115</xdr:colOff>
      <xdr:row>45</xdr:row>
      <xdr:rowOff>43543</xdr:rowOff>
    </xdr:to>
    <mc:AlternateContent xmlns:mc="http://schemas.openxmlformats.org/markup-compatibility/2006" xmlns:a14="http://schemas.microsoft.com/office/drawing/2010/main">
      <mc:Choice Requires="a14">
        <xdr:graphicFrame macro="">
          <xdr:nvGraphicFramePr>
            <xdr:cNvPr id="27" name="Hashtags Used"/>
            <xdr:cNvGraphicFramePr/>
          </xdr:nvGraphicFramePr>
          <xdr:xfrm>
            <a:off x="0" y="0"/>
            <a:ext cx="0" cy="0"/>
          </xdr:xfrm>
          <a:graphic>
            <a:graphicData uri="http://schemas.microsoft.com/office/drawing/2010/slicer">
              <sle:slicer xmlns:sle="http://schemas.microsoft.com/office/drawing/2010/slicer" name="Hashtags Used"/>
            </a:graphicData>
          </a:graphic>
        </xdr:graphicFrame>
      </mc:Choice>
      <mc:Fallback xmlns="">
        <xdr:sp macro="" textlink="">
          <xdr:nvSpPr>
            <xdr:cNvPr id="0" name=""/>
            <xdr:cNvSpPr>
              <a:spLocks noTextEdit="1"/>
            </xdr:cNvSpPr>
          </xdr:nvSpPr>
          <xdr:spPr>
            <a:xfrm>
              <a:off x="1" y="6747031"/>
              <a:ext cx="1589314" cy="157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1090</xdr:rowOff>
    </xdr:from>
    <xdr:to>
      <xdr:col>2</xdr:col>
      <xdr:colOff>359229</xdr:colOff>
      <xdr:row>36</xdr:row>
      <xdr:rowOff>10887</xdr:rowOff>
    </xdr:to>
    <mc:AlternateContent xmlns:mc="http://schemas.openxmlformats.org/markup-compatibility/2006" xmlns:a14="http://schemas.microsoft.com/office/drawing/2010/main">
      <mc:Choice Requires="a14">
        <xdr:graphicFrame macro="">
          <xdr:nvGraphicFramePr>
            <xdr:cNvPr id="28" name="Hashtags Split"/>
            <xdr:cNvGraphicFramePr/>
          </xdr:nvGraphicFramePr>
          <xdr:xfrm>
            <a:off x="0" y="0"/>
            <a:ext cx="0" cy="0"/>
          </xdr:xfrm>
          <a:graphic>
            <a:graphicData uri="http://schemas.microsoft.com/office/drawing/2010/slicer">
              <sle:slicer xmlns:sle="http://schemas.microsoft.com/office/drawing/2010/slicer" name="Hashtags Split"/>
            </a:graphicData>
          </a:graphic>
        </xdr:graphicFrame>
      </mc:Choice>
      <mc:Fallback xmlns="">
        <xdr:sp macro="" textlink="">
          <xdr:nvSpPr>
            <xdr:cNvPr id="0" name=""/>
            <xdr:cNvSpPr>
              <a:spLocks noTextEdit="1"/>
            </xdr:cNvSpPr>
          </xdr:nvSpPr>
          <xdr:spPr>
            <a:xfrm>
              <a:off x="0" y="4877890"/>
              <a:ext cx="1578429" cy="1802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457199</xdr:colOff>
      <xdr:row>32</xdr:row>
      <xdr:rowOff>87086</xdr:rowOff>
    </xdr:from>
    <xdr:to>
      <xdr:col>24</xdr:col>
      <xdr:colOff>119742</xdr:colOff>
      <xdr:row>49</xdr:row>
      <xdr:rowOff>65314</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16</xdr:row>
      <xdr:rowOff>160020</xdr:rowOff>
    </xdr:from>
    <xdr:to>
      <xdr:col>9</xdr:col>
      <xdr:colOff>388620</xdr:colOff>
      <xdr:row>28</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251460</xdr:colOff>
      <xdr:row>0</xdr:row>
      <xdr:rowOff>129540</xdr:rowOff>
    </xdr:from>
    <xdr:to>
      <xdr:col>9</xdr:col>
      <xdr:colOff>114300</xdr:colOff>
      <xdr:row>15</xdr:row>
      <xdr:rowOff>129540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259080</xdr:colOff>
      <xdr:row>0</xdr:row>
      <xdr:rowOff>76200</xdr:rowOff>
    </xdr:from>
    <xdr:to>
      <xdr:col>12</xdr:col>
      <xdr:colOff>457200</xdr:colOff>
      <xdr:row>16</xdr:row>
      <xdr:rowOff>106680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17</xdr:row>
      <xdr:rowOff>83820</xdr:rowOff>
    </xdr:from>
    <xdr:to>
      <xdr:col>15</xdr:col>
      <xdr:colOff>205740</xdr:colOff>
      <xdr:row>32</xdr:row>
      <xdr:rowOff>83820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68580</xdr:colOff>
      <xdr:row>27</xdr:row>
      <xdr:rowOff>121920</xdr:rowOff>
    </xdr:from>
    <xdr:to>
      <xdr:col>10</xdr:col>
      <xdr:colOff>15240</xdr:colOff>
      <xdr:row>42</xdr:row>
      <xdr:rowOff>121920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0</xdr:row>
      <xdr:rowOff>121920</xdr:rowOff>
    </xdr:from>
    <xdr:to>
      <xdr:col>11</xdr:col>
      <xdr:colOff>236220</xdr:colOff>
      <xdr:row>13</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304800</xdr:colOff>
      <xdr:row>0</xdr:row>
      <xdr:rowOff>144780</xdr:rowOff>
    </xdr:from>
    <xdr:to>
      <xdr:col>19</xdr:col>
      <xdr:colOff>327660</xdr:colOff>
      <xdr:row>13</xdr:row>
      <xdr:rowOff>160020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281940</xdr:colOff>
      <xdr:row>14</xdr:row>
      <xdr:rowOff>106680</xdr:rowOff>
    </xdr:from>
    <xdr:to>
      <xdr:col>15</xdr:col>
      <xdr:colOff>510540</xdr:colOff>
      <xdr:row>27</xdr:row>
      <xdr:rowOff>91440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312420</xdr:colOff>
      <xdr:row>0</xdr:row>
      <xdr:rowOff>76200</xdr:rowOff>
    </xdr:from>
    <xdr:to>
      <xdr:col>9</xdr:col>
      <xdr:colOff>297180</xdr:colOff>
      <xdr:row>10</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11</xdr:row>
      <xdr:rowOff>106680</xdr:rowOff>
    </xdr:from>
    <xdr:to>
      <xdr:col>10</xdr:col>
      <xdr:colOff>815340</xdr:colOff>
      <xdr:row>30</xdr:row>
      <xdr:rowOff>15240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129540</xdr:colOff>
      <xdr:row>69</xdr:row>
      <xdr:rowOff>160020</xdr:rowOff>
    </xdr:from>
    <xdr:to>
      <xdr:col>10</xdr:col>
      <xdr:colOff>76200</xdr:colOff>
      <xdr:row>84</xdr:row>
      <xdr:rowOff>137160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160020</xdr:colOff>
      <xdr:row>69</xdr:row>
      <xdr:rowOff>152400</xdr:rowOff>
    </xdr:from>
    <xdr:to>
      <xdr:col>16</xdr:col>
      <xdr:colOff>68580</xdr:colOff>
      <xdr:row>83</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xdr:colOff>
      <xdr:row>0</xdr:row>
      <xdr:rowOff>167640</xdr:rowOff>
    </xdr:from>
    <xdr:to>
      <xdr:col>8</xdr:col>
      <xdr:colOff>373380</xdr:colOff>
      <xdr:row>13</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14</xdr:row>
      <xdr:rowOff>175260</xdr:rowOff>
    </xdr:from>
    <xdr:to>
      <xdr:col>11</xdr:col>
      <xdr:colOff>281940</xdr:colOff>
      <xdr:row>28</xdr:row>
      <xdr:rowOff>167640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91440</xdr:colOff>
      <xdr:row>29</xdr:row>
      <xdr:rowOff>7620</xdr:rowOff>
    </xdr:from>
    <xdr:to>
      <xdr:col>10</xdr:col>
      <xdr:colOff>1021080</xdr:colOff>
      <xdr:row>39</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1089660</xdr:colOff>
      <xdr:row>28</xdr:row>
      <xdr:rowOff>175260</xdr:rowOff>
    </xdr:from>
    <xdr:to>
      <xdr:col>15</xdr:col>
      <xdr:colOff>129540</xdr:colOff>
      <xdr:row>39</xdr:row>
      <xdr:rowOff>106680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Tnluser" refreshedDate="46106.783643750001" createdVersion="5" refreshedVersion="5" minRefreshableVersion="3" recordCount="299">
  <cacheSource type="worksheet">
    <worksheetSource name="Table5"/>
  </cacheSource>
  <cacheFields count="17">
    <cacheField name="Post ID" numFmtId="49">
      <sharedItems count="299">
        <s v="SP031"/>
        <s v="SP061"/>
        <s v="SP083"/>
        <s v="SP126"/>
        <s v="SP169"/>
        <s v="SP034"/>
        <s v="SP057"/>
        <s v="SP070"/>
        <s v="SP071"/>
        <s v="SP079"/>
        <s v="SP130"/>
        <s v="SP202"/>
        <s v="SP245"/>
        <s v="SP260"/>
        <s v="SP281"/>
        <s v="SP299"/>
        <s v="SP107"/>
        <s v="SP120"/>
        <s v="SP190"/>
        <s v="SP195"/>
        <s v="SP196"/>
        <s v="SP215"/>
        <s v="SP216"/>
        <s v="SP226"/>
        <s v="SP237"/>
        <s v="SP064"/>
        <s v="SP075"/>
        <s v="SP078"/>
        <s v="SP097"/>
        <s v="SP106"/>
        <s v="SP133"/>
        <s v="SP147"/>
        <s v="SP259"/>
        <s v="SP279"/>
        <s v="SP289"/>
        <s v="SP002"/>
        <s v="SP018"/>
        <s v="SP042"/>
        <s v="SP127"/>
        <s v="SP167"/>
        <s v="SP198"/>
        <s v="SP225"/>
        <s v="SP234"/>
        <s v="SP285"/>
        <s v="SP048"/>
        <s v="SP148"/>
        <s v="SP160"/>
        <s v="SP219"/>
        <s v="SP254"/>
        <s v="SP271"/>
        <s v="SP277"/>
        <s v="SP300"/>
        <s v="SP043"/>
        <s v="SP046"/>
        <s v="SP103"/>
        <s v="SP144"/>
        <s v="SP273"/>
        <s v="SP056"/>
        <s v="SP088"/>
        <s v="SP112"/>
        <s v="SP117"/>
        <s v="SP122"/>
        <s v="SP128"/>
        <s v="SP189"/>
        <s v="SP191"/>
        <s v="SP229"/>
        <s v="SP275"/>
        <s v="SP282"/>
        <s v="SP093"/>
        <s v="SP011"/>
        <s v="SP028"/>
        <s v="SP054"/>
        <s v="SP081"/>
        <s v="SP157"/>
        <s v="SP232"/>
        <s v="SP249"/>
        <s v="SP276"/>
        <s v="SP295"/>
        <s v="SP047"/>
        <s v="SP096"/>
        <s v="SP098"/>
        <s v="SP139"/>
        <s v="SP029"/>
        <s v="SP095"/>
        <s v="SP131"/>
        <s v="SP158"/>
        <s v="SP181"/>
        <s v="SP182"/>
        <s v="SP200"/>
        <s v="SP227"/>
        <s v="SP258"/>
        <s v="SP268"/>
        <s v="SP296"/>
        <s v="SP068"/>
        <s v="SP092"/>
        <s v="SP231"/>
        <s v="SP263"/>
        <s v="SP005"/>
        <s v="SP067"/>
        <s v="SP137"/>
        <s v="SP166"/>
        <s v="SP168"/>
        <s v="SP174"/>
        <s v="SP175"/>
        <s v="SP207"/>
        <s v="SP255"/>
        <s v="SP159"/>
        <s v="SP208"/>
        <s v="SP242"/>
        <s v="SP041"/>
        <s v="SP060"/>
        <s v="SP066"/>
        <s v="SP115"/>
        <s v="SP149"/>
        <s v="SP172"/>
        <s v="SP205"/>
        <s v="SP211"/>
        <s v="SP293"/>
        <s v="SP030"/>
        <s v="SP050"/>
        <s v="SP087"/>
        <s v="SP155"/>
        <s v="SP185"/>
        <s v="SP036"/>
        <s v="SP091"/>
        <s v="SP104"/>
        <s v="SP121"/>
        <s v="SP180"/>
        <s v="SP210"/>
        <s v="SP286"/>
        <s v="SP001"/>
        <s v="SP008"/>
        <s v="SP015"/>
        <s v="SP032"/>
        <s v="SP035"/>
        <s v="SP055"/>
        <s v="SP073"/>
        <s v="SP116"/>
        <s v="SP124"/>
        <s v="SP165"/>
        <s v="SP194"/>
        <s v="SP221"/>
        <s v="SP012"/>
        <s v="SP026"/>
        <s v="SP051"/>
        <s v="SP086"/>
        <s v="SP118"/>
        <s v="SP123"/>
        <s v="SP134"/>
        <s v="SP230"/>
        <s v="SP250"/>
        <s v="SP074"/>
        <s v="SP146"/>
        <s v="SP187"/>
        <s v="SP037"/>
        <s v="SP065"/>
        <s v="SP077"/>
        <s v="SP119"/>
        <s v="SP145"/>
        <s v="SP150"/>
        <s v="SP161"/>
        <s v="SP217"/>
        <s v="SP228"/>
        <s v="SP264"/>
        <s v="SP266"/>
        <s v="SP173"/>
        <s v="SP188"/>
        <s v="SP193"/>
        <s v="SP257"/>
        <s v="SP006"/>
        <s v="SP017"/>
        <s v="SP019"/>
        <s v="SP023"/>
        <s v="SP040"/>
        <s v="SP153"/>
        <s v="SP244"/>
        <s v="SP248"/>
        <s v="SP013"/>
        <s v="SP022"/>
        <s v="SP080"/>
        <s v="SP143"/>
        <s v="SP186"/>
        <s v="SP212"/>
        <s v="SP222"/>
        <s v="SP223"/>
        <s v="SP238"/>
        <s v="SP265"/>
        <s v="SP269"/>
        <s v="SP110"/>
        <s v="SP164"/>
        <s v="SP213"/>
        <s v="SP287"/>
        <s v="SP291"/>
        <s v="SP020"/>
        <s v="SP129"/>
        <s v="SP176"/>
        <s v="SP298"/>
        <s v="SP063"/>
        <s v="SP184"/>
        <s v="SP199"/>
        <s v="SP246"/>
        <s v="SP251"/>
        <s v="SP256"/>
        <s v="SP045"/>
        <s v="SP058"/>
        <s v="SP076"/>
        <s v="SP111"/>
        <s v="SP114"/>
        <s v="SP209"/>
        <s v="SP090"/>
        <s v="SP100"/>
        <s v="SP183"/>
        <s v="SP084"/>
        <s v="SP059"/>
        <s v="SP163"/>
        <s v="SP253"/>
        <s v="SP288"/>
        <s v="SP053"/>
        <s v="SP151"/>
        <s v="SP290"/>
        <s v="SP085"/>
        <s v="SP206"/>
        <s v="SP049"/>
        <s v="SP082"/>
        <s v="SP140"/>
        <s v="SP240"/>
        <s v="SP283"/>
        <s v="SP044"/>
        <s v="SP052"/>
        <s v="SP108"/>
        <s v="SP156"/>
        <s v="SP171"/>
        <s v="SP235"/>
        <s v="SP038"/>
        <s v="SP113"/>
        <s v="SP201"/>
        <s v="SP105"/>
        <s v="SP192"/>
        <s v="SP241"/>
        <s v="SP247"/>
        <s v="SP132"/>
        <s v="SP152"/>
        <s v="SP280"/>
        <s v="SP135"/>
        <s v="SP141"/>
        <s v="SP014"/>
        <s v="SP025"/>
        <s v="SP033"/>
        <s v="SP072"/>
        <s v="SP101"/>
        <s v="SP203"/>
        <s v="SP214"/>
        <s v="SP274"/>
        <s v="SP024"/>
        <s v="SP099"/>
        <s v="SP218"/>
        <s v="SP102"/>
        <s v="SP233"/>
        <s v="SP252"/>
        <s v="SP284"/>
        <s v="SP021"/>
        <s v="SP062"/>
        <s v="SP125"/>
        <s v="SP267"/>
        <s v="SP272"/>
        <s v="SP292"/>
        <s v="SP094"/>
        <s v="SP162"/>
        <s v="SP177"/>
        <s v="SP261"/>
        <s v="SP270"/>
        <s v="SP297"/>
        <s v="SP109"/>
        <s v="SP136"/>
        <s v="SP154"/>
        <s v="SP170"/>
        <s v="SP179"/>
        <s v="SP027"/>
        <s v="SP039"/>
        <s v="SP138"/>
        <s v="SP262"/>
        <s v="SP003"/>
        <s v="SP004"/>
        <s v="SP010"/>
        <s v="SP089"/>
        <s v="SP278"/>
        <s v="SP178"/>
        <s v="SP197"/>
        <s v="SP220"/>
        <s v="SP224"/>
        <s v="SP239"/>
        <s v="SP243"/>
        <s v="SP007"/>
        <s v="SP069"/>
        <s v="SP142"/>
        <s v="SP236"/>
        <s v="SP294"/>
        <s v="SP016"/>
        <s v="SP204"/>
      </sharedItems>
    </cacheField>
    <cacheField name="Platform" numFmtId="49">
      <sharedItems count="3">
        <s v="Instagram"/>
        <s v="YouTube"/>
        <s v="Twitter"/>
      </sharedItems>
    </cacheField>
    <cacheField name="Date" numFmtId="14">
      <sharedItems containsSemiMixedTypes="0" containsNonDate="0" containsDate="1" containsString="0" minDate="2024-01-01T00:00:00" maxDate="2025-07-02T00:00:00"/>
    </cacheField>
    <cacheField name="Content Type" numFmtId="49">
      <sharedItems count="3">
        <s v="Text"/>
        <s v="Reel"/>
        <s v="Story"/>
      </sharedItems>
    </cacheField>
    <cacheField name="Post Text" numFmtId="49">
      <sharedItems count="10">
        <s v="New music just dropped. Hit play!"/>
        <s v="Explore the latest podcasts now."/>
        <s v="Get into the groove with our new drop!"/>
        <s v="Whatâ€™s your vibe today? #SpotifyHits"/>
        <s v="Top trending tracks updated daily!"/>
        <s v="Wrapped is here! Relive your top tracks ðŸŽ§"/>
        <s v="Your weekend playlist is waiting."/>
        <s v="Music that moves youâ€”only on Spotify."/>
        <s v="From pop to podcasts, itâ€™s all here."/>
        <s v="Discover fresh beats on Spotify!"/>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numFmtId="49">
      <sharedItems count="4">
        <s v="#SoundtrackOfLife"/>
        <s v="#DiscoverWeekly"/>
        <s v="#MusicForEveryone"/>
        <s v="#NowPlaying"/>
      </sharedItems>
    </cacheField>
    <cacheField name="Hashtags Split" numFmtId="49">
      <sharedItems count="5">
        <s v="#NowPlaying"/>
        <s v="#SoundtrackOfLife"/>
        <s v="#SpotifyWrapped"/>
        <s v="NA"/>
        <s v="#MusicForEveryone"/>
      </sharedItems>
    </cacheField>
    <cacheField name="Campaign_Name" numFmtId="49">
      <sharedItems count="4">
        <s v="ChillVibes"/>
        <s v="SummerBeats"/>
        <s v="IndieWave"/>
        <s v="Wrapped2024"/>
      </sharedItems>
    </cacheField>
    <cacheField name="Week " numFmtId="0">
      <sharedItems containsSemiMixedTypes="0" containsString="0" containsNumber="1" containsInteger="1" minValue="1" maxValue="53"/>
    </cacheField>
    <cacheField name="Engagement rate " numFmtId="10">
      <sharedItems containsSemiMixedTypes="0" containsString="0" containsNumber="1" minValue="2.50275284149232E-2" maxValue="0.26064752360763155" count="299">
        <n v="8.0484684812735408E-2"/>
        <n v="8.8087436599488311E-2"/>
        <n v="0.1471166637746544"/>
        <n v="7.064131830503638E-2"/>
        <n v="8.4528099363643333E-2"/>
        <n v="4.4299315445747112E-2"/>
        <n v="0.10600966926007749"/>
        <n v="0.10657378184897237"/>
        <n v="0.1607525766064882"/>
        <n v="0.14335162515829464"/>
        <n v="2.811915575741384E-2"/>
        <n v="0.10784235029699792"/>
        <n v="9.2712236723090841E-2"/>
        <n v="8.3423643616408028E-2"/>
        <n v="9.8640235621946709E-2"/>
        <n v="5.5797564422760453E-2"/>
        <n v="8.6598679355949518E-2"/>
        <n v="4.7099090384865788E-2"/>
        <n v="9.4251731312692155E-2"/>
        <n v="0.10713930842607314"/>
        <n v="5.1833640647408315E-2"/>
        <n v="8.2744836775483013E-2"/>
        <n v="5.2041730205988429E-2"/>
        <n v="5.2513742764570971E-2"/>
        <n v="0.13077197816215114"/>
        <n v="9.2093661212893113E-2"/>
        <n v="5.1660428636136076E-2"/>
        <n v="0.13476527900797167"/>
        <n v="0.10550008380623997"/>
        <n v="0.23193025217961938"/>
        <n v="4.7508511296812134E-2"/>
        <n v="7.1988159338556151E-2"/>
        <n v="7.5077784691972627E-2"/>
        <n v="0.20445859872611466"/>
        <n v="0.10338095327488783"/>
        <n v="8.7095334546328396E-2"/>
        <n v="0.1408079806679472"/>
        <n v="9.379528682585335E-2"/>
        <n v="3.4738711788351875E-2"/>
        <n v="0.1612578785034196"/>
        <n v="3.5034029141734799E-2"/>
        <n v="5.2566815966924252E-2"/>
        <n v="0.16790703227603773"/>
        <n v="3.4229485151994379E-2"/>
        <n v="0.15735977431131762"/>
        <n v="0.10708707332819627"/>
        <n v="4.9951325040562468E-2"/>
        <n v="4.5610431884675749E-2"/>
        <n v="0.15451192239551567"/>
        <n v="0.14843585975225698"/>
        <n v="8.3972409065592737E-2"/>
        <n v="9.4300914496331587E-2"/>
        <n v="0.11750707750379519"/>
        <n v="0.14600091693410577"/>
        <n v="6.6614370881706936E-2"/>
        <n v="6.0370736430199488E-2"/>
        <n v="6.6160796354604659E-2"/>
        <n v="0.13885094758408742"/>
        <n v="0.18086628511966701"/>
        <n v="5.2993862995521647E-2"/>
        <n v="3.4977365592309385E-2"/>
        <n v="3.5847516903707161E-2"/>
        <n v="0.10461100954702417"/>
        <n v="0.11349824183418362"/>
        <n v="0.10173025732031943"/>
        <n v="9.191926295801392E-2"/>
        <n v="9.4139757389372969E-2"/>
        <n v="5.4576862557296296E-2"/>
        <n v="6.3999063999063993E-2"/>
        <n v="8.4525482181632389E-2"/>
        <n v="8.205676046117874E-2"/>
        <n v="9.5101162290142052E-2"/>
        <n v="8.8232696960599044E-2"/>
        <n v="0.19390491670052823"/>
        <n v="0.10985069273191947"/>
        <n v="0.14674444862627023"/>
        <n v="5.7682545054573146E-2"/>
        <n v="0.1109777812185492"/>
        <n v="9.8072192379135503E-2"/>
        <n v="0.13528464682326713"/>
        <n v="9.4690354648038683E-2"/>
        <n v="0.11645414595490239"/>
        <n v="6.9526910553533799E-2"/>
        <n v="0.14130742382794076"/>
        <n v="5.4592988710635768E-2"/>
        <n v="0.16116683482699271"/>
        <n v="4.2982250109049422E-2"/>
        <n v="7.2213401079707848E-2"/>
        <n v="4.5247823769763724E-2"/>
        <n v="0.12406981463942633"/>
        <n v="3.3729709324273313E-2"/>
        <n v="7.3202671439172376E-2"/>
        <n v="0.1191007493755204"/>
        <n v="0.18517978620019437"/>
        <n v="7.974671020085089E-2"/>
        <n v="6.76784936509532E-2"/>
        <n v="5.4473577117609438E-2"/>
        <n v="0.1314700217204213"/>
        <n v="0.17658969920637513"/>
        <n v="0.16610252187966945"/>
        <n v="9.2244407295403744E-2"/>
        <n v="0.10143081434961637"/>
        <n v="0.10256458679558846"/>
        <n v="5.6980732739746021E-2"/>
        <n v="7.1022341272152026E-2"/>
        <n v="5.7503193495407452E-2"/>
        <n v="8.3133241487896081E-2"/>
        <n v="3.9319108127547353E-2"/>
        <n v="0.13404136389044158"/>
        <n v="0.10863928268508422"/>
        <n v="0.11124541239039185"/>
        <n v="9.0267383317458164E-2"/>
        <n v="8.6978468608031198E-2"/>
        <n v="8.1341895638137346E-2"/>
        <n v="0.16447098339242397"/>
        <n v="7.7428927315357568E-2"/>
        <n v="3.1623578076525334E-2"/>
        <n v="4.4999031758326875E-2"/>
        <n v="0.10399399962497656"/>
        <n v="0.20241060666934513"/>
        <n v="6.1158416768035934E-2"/>
        <n v="0.10400389436534015"/>
        <n v="8.5966298051606105E-2"/>
        <n v="6.3600055728416843E-2"/>
        <n v="7.8512996756861422E-2"/>
        <n v="8.8705674736667947E-2"/>
        <n v="9.3980281287635997E-2"/>
        <n v="7.7731488624869283E-2"/>
        <n v="3.4110398272247981E-2"/>
        <n v="0.11467469950680724"/>
        <n v="0.13200509890939993"/>
        <n v="8.7100435029317191E-2"/>
        <n v="0.11274405206444041"/>
        <n v="7.519889311656866E-2"/>
        <n v="9.7668038408779148E-2"/>
        <n v="4.781732706514439E-2"/>
        <n v="5.2042268944371438E-2"/>
        <n v="4.9881554861634543E-2"/>
        <n v="8.5455879813503707E-2"/>
        <n v="0.10652531529884847"/>
        <n v="5.6436966727204191E-2"/>
        <n v="0.1271002400274317"/>
        <n v="5.4191936281527367E-2"/>
        <n v="5.173411449857148E-2"/>
        <n v="0.10249760265016128"/>
        <n v="4.4438295517432211E-2"/>
        <n v="4.1192869195216787E-2"/>
        <n v="5.8764788517847777E-2"/>
        <n v="7.4861184558434685E-2"/>
        <n v="4.9646286003031836E-2"/>
        <n v="0.17799483100057059"/>
        <n v="4.0418432004799221E-2"/>
        <n v="8.1504318676747664E-2"/>
        <n v="0.12920396165457337"/>
        <n v="0.10772626931567329"/>
        <n v="3.5777344113000653E-2"/>
        <n v="9.6080290300434801E-2"/>
        <n v="5.7963823356939871E-2"/>
        <n v="0.11477740733477153"/>
        <n v="9.4928992718046723E-2"/>
        <n v="0.1552751489660007"/>
        <n v="9.4450189589796618E-2"/>
        <n v="3.1839004091338254E-2"/>
        <n v="5.4859907104176028E-2"/>
        <n v="0.11695224773672146"/>
        <n v="0.10077178019329269"/>
        <n v="9.8222596516111871E-2"/>
        <n v="6.5015829941203071E-2"/>
        <n v="8.5608773500447627E-2"/>
        <n v="7.4828079253761837E-2"/>
        <n v="4.7214969538729328E-2"/>
        <n v="6.4255640042732362E-2"/>
        <n v="8.0047619047619048E-2"/>
        <n v="0.14436927106067218"/>
        <n v="8.2469701307376658E-2"/>
        <n v="8.6517714206166912E-2"/>
        <n v="0.19261223173659131"/>
        <n v="7.4550393727863554E-2"/>
        <n v="0.19548583208133888"/>
        <n v="7.3021390374331557E-2"/>
        <n v="9.2634518149573616E-2"/>
        <n v="0.22967524699836073"/>
        <n v="4.0153279184466734E-2"/>
        <n v="8.6602037169406718E-2"/>
        <n v="2.9336922849977874E-2"/>
        <n v="5.3094209744904843E-2"/>
        <n v="9.0752980172121162E-2"/>
        <n v="9.2893873181347508E-2"/>
        <n v="0.16033389770445328"/>
        <n v="3.5523669554455448E-2"/>
        <n v="0.17995832544042431"/>
        <n v="8.4548582664263475E-2"/>
        <n v="5.8052595393606049E-2"/>
        <n v="0.15347655981879332"/>
        <n v="7.9993453221219743E-2"/>
        <n v="8.4227733207149463E-2"/>
        <n v="6.1064362065044349E-2"/>
        <n v="3.6351938233874857E-2"/>
        <n v="6.2648374965860634E-2"/>
        <n v="0.13946227759085811"/>
        <n v="0.16477245248343569"/>
        <n v="4.4258807658382193E-2"/>
        <n v="5.2312660271630736E-2"/>
        <n v="0.11613367267898639"/>
        <n v="8.8283323127168814E-2"/>
        <n v="7.611534979956032E-2"/>
        <n v="0.16641897515158721"/>
        <n v="5.1173769923769923E-2"/>
        <n v="7.7181741758116915E-2"/>
        <n v="0.17642537414658407"/>
        <n v="0.10077583818232197"/>
        <n v="0.16743869209809265"/>
        <n v="0.16283364109451065"/>
        <n v="2.50275284149232E-2"/>
        <n v="0.11046681895390383"/>
        <n v="5.0121212121212122E-2"/>
        <n v="0.10546200140489435"/>
        <n v="5.8723551855705859E-2"/>
        <n v="6.9360859297630834E-2"/>
        <n v="0.1565595352530614"/>
        <n v="6.0050273034584378E-2"/>
        <n v="7.9782521843353188E-2"/>
        <n v="0.1087862256289851"/>
        <n v="5.9312714776632303E-2"/>
        <n v="8.702596166915863E-2"/>
        <n v="0.10547128720437092"/>
        <n v="8.628318584070796E-2"/>
        <n v="3.9937155714174881E-2"/>
        <n v="0.15227535227535227"/>
        <n v="0.10949965468790931"/>
        <n v="3.8832755240536872E-2"/>
        <n v="9.8031707130274953E-2"/>
        <n v="6.4655069273288512E-2"/>
        <n v="3.9122543637545096E-2"/>
        <n v="3.9674653122814763E-2"/>
        <n v="6.2974139146620034E-2"/>
        <n v="6.2084853138798232E-2"/>
        <n v="8.9237069349238848E-2"/>
        <n v="4.819683813738912E-2"/>
        <n v="7.1354340971940891E-2"/>
        <n v="9.2466575934672959E-2"/>
        <n v="9.2425876010781671E-2"/>
        <n v="0.1122776514644911"/>
        <n v="9.6834214933149046E-2"/>
        <n v="7.0594928198320889E-2"/>
        <n v="8.5063484278785892E-2"/>
        <n v="8.1036535115831879E-2"/>
        <n v="0.16177247444144061"/>
        <n v="8.1549489395129612E-2"/>
        <n v="8.2866791077934779E-2"/>
        <n v="8.2690258629040073E-2"/>
        <n v="0.12555218709398008"/>
        <n v="5.4638246772740921E-2"/>
        <n v="0.11026748397882419"/>
        <n v="6.934441139598338E-2"/>
        <n v="0.12409349336702463"/>
        <n v="0.14485195154777927"/>
        <n v="8.0741841282852611E-2"/>
        <n v="0.10762898272970794"/>
        <n v="8.4056399132321047E-2"/>
        <n v="4.3543867212761371E-2"/>
        <n v="4.3619068768968837E-2"/>
        <n v="0.11041472996071611"/>
        <n v="6.1279893894806647E-2"/>
        <n v="5.1861351697967357E-2"/>
        <n v="0.12976726726726726"/>
        <n v="0.1439786294499264"/>
        <n v="0.11258173796580792"/>
        <n v="0.1728980597474592"/>
        <n v="6.8477000386548123E-2"/>
        <n v="3.3603177027646251E-2"/>
        <n v="5.9775576027966085E-2"/>
        <n v="0.13838335084182732"/>
        <n v="0.18723441538528934"/>
        <n v="5.9585542168674697E-2"/>
        <n v="0.15513030574705536"/>
        <n v="7.090200025160398E-2"/>
        <n v="0.11363049929041415"/>
        <n v="3.9913595142645857E-2"/>
        <n v="2.7809319322005904E-2"/>
        <n v="0.12190780876853062"/>
        <n v="7.0477352576105018E-2"/>
        <n v="0.1215714092690177"/>
        <n v="0.12997310581470833"/>
        <n v="9.8770390509144837E-2"/>
        <n v="6.6186514342481059E-2"/>
        <n v="7.3899528727564417E-2"/>
        <n v="3.5821698002251455E-2"/>
        <n v="8.0371103929948923E-2"/>
        <n v="0.11126822801590809"/>
        <n v="0.17088145896656534"/>
        <n v="9.8193807339449546E-2"/>
        <n v="0.26064752360763155"/>
        <n v="4.6406515707509172E-2"/>
        <n v="0.11731037798484398"/>
        <n v="8.1666436749896543E-2"/>
        <n v="3.221173574066475E-2"/>
        <n v="9.3810966751068869E-2"/>
        <n v="9.7836889180216949E-2"/>
      </sharedItems>
    </cacheField>
    <cacheField name="Total Engagement" numFmtId="0" formula="Likes+Shares+Comments"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Tnluser" refreshedDate="46106.822142129633" createdVersion="5" refreshedVersion="5" minRefreshableVersion="3" recordCount="200">
  <cacheSource type="worksheet">
    <worksheetSource name="Table4"/>
  </cacheSource>
  <cacheFields count="10">
    <cacheField name="Week_Start_Date" numFmtId="1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cacheField>
    <cacheField name="Platform" numFmtId="49">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64">
      <sharedItems containsSemiMixedTypes="0" containsString="0" containsNumber="1" containsInteger="1" minValue="5281" maxValue="27829" count="198">
        <n v="23125"/>
        <n v="22788"/>
        <n v="7810"/>
        <n v="11966"/>
        <n v="26298"/>
        <n v="22029"/>
        <n v="12391"/>
        <n v="14477"/>
        <n v="25040"/>
        <n v="22619"/>
        <n v="12399"/>
        <n v="22456"/>
        <n v="19328"/>
        <n v="21107"/>
        <n v="12277"/>
        <n v="11684"/>
        <n v="14412"/>
        <n v="15924"/>
        <n v="12390"/>
        <n v="25742"/>
        <n v="10495"/>
        <n v="7797"/>
        <n v="15595"/>
        <n v="24617"/>
        <n v="9847"/>
        <n v="13644"/>
        <n v="11421"/>
        <n v="15613"/>
        <n v="23900"/>
        <n v="5836"/>
        <n v="5624"/>
        <n v="10311"/>
        <n v="8274"/>
        <n v="6031"/>
        <n v="27829"/>
        <n v="18267"/>
        <n v="26624"/>
        <n v="26644"/>
        <n v="13051"/>
        <n v="14217"/>
        <n v="16385"/>
        <n v="24548"/>
        <n v="9195"/>
        <n v="18071"/>
        <n v="16875"/>
        <n v="9567"/>
        <n v="20306"/>
        <n v="21134"/>
        <n v="26872"/>
        <n v="10253"/>
        <n v="23963"/>
        <n v="11335"/>
        <n v="12115"/>
        <n v="24358"/>
        <n v="12181"/>
        <n v="17729"/>
        <n v="10881"/>
        <n v="18576"/>
        <n v="9383"/>
        <n v="14178"/>
        <n v="21254"/>
        <n v="14215"/>
        <n v="16921"/>
        <n v="25130"/>
        <n v="25537"/>
        <n v="24943"/>
        <n v="14563"/>
        <n v="26273"/>
        <n v="10858"/>
        <n v="25038"/>
        <n v="9092"/>
        <n v="17662"/>
        <n v="5924"/>
        <n v="25347"/>
        <n v="8910"/>
        <n v="20438"/>
        <n v="8760"/>
        <n v="6625"/>
        <n v="23329"/>
        <n v="7299"/>
        <n v="14496"/>
        <n v="25703"/>
        <n v="15108"/>
        <n v="18867"/>
        <n v="17574"/>
        <n v="12840"/>
        <n v="21079"/>
        <n v="23486"/>
        <n v="5960"/>
        <n v="13301"/>
        <n v="10563"/>
        <n v="19949"/>
        <n v="14273"/>
        <n v="9247"/>
        <n v="11972"/>
        <n v="13314"/>
        <n v="14749"/>
        <n v="6868"/>
        <n v="6027"/>
        <n v="25267"/>
        <n v="5900"/>
        <n v="11181"/>
        <n v="9592"/>
        <n v="5291"/>
        <n v="22244"/>
        <n v="6824"/>
        <n v="24112"/>
        <n v="25478"/>
        <n v="11235"/>
        <n v="6120"/>
        <n v="20572"/>
        <n v="14975"/>
        <n v="22234"/>
        <n v="6532"/>
        <n v="24858"/>
        <n v="13883"/>
        <n v="18654"/>
        <n v="25234"/>
        <n v="6772"/>
        <n v="22428"/>
        <n v="11911"/>
        <n v="21900"/>
        <n v="25542"/>
        <n v="7140"/>
        <n v="20474"/>
        <n v="8698"/>
        <n v="10402"/>
        <n v="26618"/>
        <n v="7975"/>
        <n v="19054"/>
        <n v="13740"/>
        <n v="18442"/>
        <n v="10104"/>
        <n v="21771"/>
        <n v="22191"/>
        <n v="27753"/>
        <n v="23736"/>
        <n v="27393"/>
        <n v="10343"/>
        <n v="25259"/>
        <n v="24827"/>
        <n v="11908"/>
        <n v="11005"/>
        <n v="26333"/>
        <n v="5495"/>
        <n v="15655"/>
        <n v="13763"/>
        <n v="26073"/>
        <n v="12774"/>
        <n v="19000"/>
        <n v="14051"/>
        <n v="27782"/>
        <n v="7859"/>
        <n v="15773"/>
        <n v="20595"/>
        <n v="12031"/>
        <n v="15128"/>
        <n v="11826"/>
        <n v="12562"/>
        <n v="13013"/>
        <n v="12937"/>
        <n v="14534"/>
        <n v="8182"/>
        <n v="10615"/>
        <n v="20109"/>
        <n v="26024"/>
        <n v="26730"/>
        <n v="27575"/>
        <n v="14479"/>
        <n v="15915"/>
        <n v="12767"/>
        <n v="12170"/>
        <n v="7245"/>
        <n v="12985"/>
        <n v="16377"/>
        <n v="11453"/>
        <n v="12323"/>
        <n v="27809"/>
        <n v="21464"/>
        <n v="27126"/>
        <n v="10681"/>
        <n v="5413"/>
        <n v="25058"/>
        <n v="18303"/>
        <n v="5526"/>
        <n v="17460"/>
        <n v="14475"/>
        <n v="20162"/>
        <n v="17103"/>
        <n v="15461"/>
        <n v="22103"/>
        <n v="11625"/>
        <n v="5281"/>
        <n v="13424"/>
        <n v="13140"/>
        <n v="19538"/>
        <n v="7881"/>
        <n v="11418"/>
      </sharedItems>
    </cacheField>
    <cacheField name="week" numFmtId="0">
      <sharedItems containsSemiMixedTypes="0" containsString="0" containsNumber="1" containsInteger="1" minValue="2" maxValue="53" count="52">
        <n v="23"/>
        <n v="24"/>
        <n v="25"/>
        <n v="26"/>
        <n v="27"/>
        <n v="28"/>
        <n v="29"/>
        <n v="30"/>
        <n v="31"/>
        <n v="32"/>
        <n v="33"/>
        <n v="34"/>
        <n v="35"/>
        <n v="36"/>
        <n v="37"/>
        <n v="38"/>
        <n v="39"/>
        <n v="40"/>
        <n v="41"/>
        <n v="42"/>
        <n v="43"/>
        <n v="44"/>
        <n v="45"/>
        <n v="46"/>
        <n v="47"/>
        <n v="48"/>
        <n v="49"/>
        <n v="50"/>
        <n v="51"/>
        <n v="52"/>
        <n v="53"/>
        <n v="2"/>
        <n v="3"/>
        <n v="4"/>
        <n v="5"/>
        <n v="6"/>
        <n v="7"/>
        <n v="8"/>
        <n v="9"/>
        <n v="10"/>
        <n v="11"/>
        <n v="12"/>
        <n v="13"/>
        <n v="14"/>
        <n v="15"/>
        <n v="16"/>
        <n v="17"/>
        <n v="18"/>
        <n v="19"/>
        <n v="20"/>
        <n v="21"/>
        <n v="22"/>
      </sharedItems>
    </cacheField>
    <cacheField name="Growth_Rate" numFmtId="10">
      <sharedItems containsSemiMixedTypes="0" containsString="0" containsNumber="1" minValue="7.9729048800556194E-4" maxValue="1.7836234485988603E-2"/>
    </cacheField>
    <cacheField name="Net_Gain" numFmtId="0" formula="New_Followers-Unfollows"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Tnluser" refreshedDate="46107.769800115741" createdVersion="5" refreshedVersion="5" minRefreshableVersion="3" recordCount="4">
  <cacheSource type="worksheet">
    <worksheetSource name="Table3"/>
  </cacheSource>
  <cacheFields count="9">
    <cacheField name="Campaign_Name" numFmtId="49">
      <sharedItems count="4">
        <s v="SummerBeats"/>
        <s v="Wrapped2024"/>
        <s v="ChillVibes"/>
        <s v="IndieWave"/>
      </sharedItems>
    </cacheField>
    <cacheField name="Start_Date" numFmtId="14">
      <sharedItems/>
    </cacheField>
    <cacheField name="End_Date" numFmtId="14">
      <sharedItems/>
    </cacheField>
    <cacheField name="Objective" numFmtId="49">
      <sharedItems/>
    </cacheField>
    <cacheField name="Total_Budget" numFmtId="164">
      <sharedItems containsSemiMixedTypes="0" containsString="0" containsNumber="1" containsInteger="1" minValue="160000" maxValue="225000"/>
    </cacheField>
    <cacheField name="Target_Platforms1" numFmtId="49">
      <sharedItems count="3">
        <s v="Instagram"/>
        <s v="Twitter"/>
        <s v="Facebook"/>
      </sharedItems>
    </cacheField>
    <cacheField name="Target_Platforms2" numFmtId="49">
      <sharedItems count="3">
        <s v="YouTube"/>
        <s v="Twitter"/>
        <s v="Instagram"/>
      </sharedItems>
    </cacheField>
    <cacheField name="Primary_Hashtags" numFmtId="49">
      <sharedItems count="3">
        <s v="#SpotifyWrapped"/>
        <s v="#ChillVibes"/>
        <s v="#DiscoverWeekly"/>
      </sharedItems>
    </cacheField>
    <cacheField name="Split Hashtags" numFmtId="49">
      <sharedItems count="4">
        <s v="#MusicForEveryone"/>
        <s v="#NowPlaying"/>
        <s v="#SoundtrackOfLife"/>
        <s v="#IndieWav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99">
  <r>
    <x v="0"/>
    <x v="0"/>
    <d v="2025-01-01T00:00:00"/>
    <x v="0"/>
    <x v="0"/>
    <n v="4036"/>
    <n v="112"/>
    <n v="382"/>
    <n v="56284"/>
    <n v="29440"/>
    <n v="279"/>
    <x v="0"/>
    <x v="0"/>
    <x v="0"/>
    <n v="1"/>
    <x v="0"/>
  </r>
  <r>
    <x v="1"/>
    <x v="1"/>
    <d v="2024-01-01T00:00:00"/>
    <x v="1"/>
    <x v="1"/>
    <n v="3437"/>
    <n v="129"/>
    <n v="359"/>
    <n v="44558"/>
    <n v="30854"/>
    <n v="171"/>
    <x v="1"/>
    <x v="1"/>
    <x v="1"/>
    <n v="1"/>
    <x v="1"/>
  </r>
  <r>
    <x v="2"/>
    <x v="2"/>
    <d v="2025-01-03T00:00:00"/>
    <x v="2"/>
    <x v="2"/>
    <n v="4845"/>
    <n v="158"/>
    <n v="84"/>
    <n v="34578"/>
    <n v="51480"/>
    <n v="180"/>
    <x v="0"/>
    <x v="0"/>
    <x v="0"/>
    <n v="1"/>
    <x v="2"/>
  </r>
  <r>
    <x v="3"/>
    <x v="2"/>
    <d v="2024-01-04T00:00:00"/>
    <x v="2"/>
    <x v="3"/>
    <n v="3208"/>
    <n v="476"/>
    <n v="277"/>
    <n v="56072"/>
    <n v="21061"/>
    <n v="113"/>
    <x v="2"/>
    <x v="0"/>
    <x v="0"/>
    <n v="1"/>
    <x v="3"/>
  </r>
  <r>
    <x v="4"/>
    <x v="1"/>
    <d v="2025-01-03T00:00:00"/>
    <x v="0"/>
    <x v="0"/>
    <n v="3782"/>
    <n v="484"/>
    <n v="144"/>
    <n v="52172"/>
    <n v="59386"/>
    <n v="175"/>
    <x v="1"/>
    <x v="2"/>
    <x v="2"/>
    <n v="1"/>
    <x v="4"/>
  </r>
  <r>
    <x v="5"/>
    <x v="0"/>
    <d v="2025-01-09T00:00:00"/>
    <x v="0"/>
    <x v="0"/>
    <n v="1015"/>
    <n v="366"/>
    <n v="308"/>
    <n v="38127"/>
    <n v="63790"/>
    <n v="287"/>
    <x v="0"/>
    <x v="0"/>
    <x v="0"/>
    <n v="2"/>
    <x v="5"/>
  </r>
  <r>
    <x v="6"/>
    <x v="0"/>
    <d v="2024-01-08T00:00:00"/>
    <x v="0"/>
    <x v="4"/>
    <n v="2683"/>
    <n v="405"/>
    <n v="223"/>
    <n v="31233"/>
    <n v="58106"/>
    <n v="291"/>
    <x v="1"/>
    <x v="3"/>
    <x v="2"/>
    <n v="2"/>
    <x v="6"/>
  </r>
  <r>
    <x v="7"/>
    <x v="2"/>
    <d v="2025-01-05T00:00:00"/>
    <x v="0"/>
    <x v="5"/>
    <n v="4811"/>
    <n v="473"/>
    <n v="254"/>
    <n v="51964"/>
    <n v="68795"/>
    <n v="107"/>
    <x v="3"/>
    <x v="3"/>
    <x v="0"/>
    <n v="2"/>
    <x v="7"/>
  </r>
  <r>
    <x v="8"/>
    <x v="2"/>
    <d v="2024-01-11T00:00:00"/>
    <x v="0"/>
    <x v="3"/>
    <n v="4218"/>
    <n v="247"/>
    <n v="183"/>
    <n v="28914"/>
    <n v="18310"/>
    <n v="135"/>
    <x v="0"/>
    <x v="3"/>
    <x v="2"/>
    <n v="2"/>
    <x v="8"/>
  </r>
  <r>
    <x v="9"/>
    <x v="1"/>
    <d v="2024-01-13T00:00:00"/>
    <x v="1"/>
    <x v="0"/>
    <n v="4781"/>
    <n v="191"/>
    <n v="122"/>
    <n v="35535"/>
    <n v="50777"/>
    <n v="128"/>
    <x v="1"/>
    <x v="1"/>
    <x v="1"/>
    <n v="2"/>
    <x v="9"/>
  </r>
  <r>
    <x v="10"/>
    <x v="1"/>
    <d v="2024-01-10T00:00:00"/>
    <x v="0"/>
    <x v="1"/>
    <n v="1261"/>
    <n v="190"/>
    <n v="233"/>
    <n v="59888"/>
    <n v="51449"/>
    <n v="205"/>
    <x v="1"/>
    <x v="2"/>
    <x v="2"/>
    <n v="2"/>
    <x v="10"/>
  </r>
  <r>
    <x v="11"/>
    <x v="2"/>
    <d v="2024-01-11T00:00:00"/>
    <x v="2"/>
    <x v="5"/>
    <n v="2340"/>
    <n v="141"/>
    <n v="206"/>
    <n v="24916"/>
    <n v="30582"/>
    <n v="157"/>
    <x v="0"/>
    <x v="0"/>
    <x v="0"/>
    <n v="2"/>
    <x v="11"/>
  </r>
  <r>
    <x v="12"/>
    <x v="2"/>
    <d v="2025-01-09T00:00:00"/>
    <x v="2"/>
    <x v="6"/>
    <n v="3817"/>
    <n v="284"/>
    <n v="204"/>
    <n v="46434"/>
    <n v="53396"/>
    <n v="104"/>
    <x v="2"/>
    <x v="0"/>
    <x v="0"/>
    <n v="2"/>
    <x v="12"/>
  </r>
  <r>
    <x v="13"/>
    <x v="2"/>
    <d v="2025-01-05T00:00:00"/>
    <x v="2"/>
    <x v="1"/>
    <n v="3341"/>
    <n v="154"/>
    <n v="123"/>
    <n v="43369"/>
    <n v="49035"/>
    <n v="128"/>
    <x v="2"/>
    <x v="0"/>
    <x v="0"/>
    <n v="2"/>
    <x v="13"/>
  </r>
  <r>
    <x v="14"/>
    <x v="0"/>
    <d v="2024-01-07T00:00:00"/>
    <x v="0"/>
    <x v="4"/>
    <n v="4931"/>
    <n v="469"/>
    <n v="193"/>
    <n v="56701"/>
    <n v="69437"/>
    <n v="291"/>
    <x v="0"/>
    <x v="0"/>
    <x v="0"/>
    <n v="2"/>
    <x v="14"/>
  </r>
  <r>
    <x v="15"/>
    <x v="2"/>
    <d v="2024-01-12T00:00:00"/>
    <x v="2"/>
    <x v="5"/>
    <n v="2227"/>
    <n v="494"/>
    <n v="161"/>
    <n v="51651"/>
    <n v="68074"/>
    <n v="240"/>
    <x v="1"/>
    <x v="4"/>
    <x v="0"/>
    <n v="2"/>
    <x v="15"/>
  </r>
  <r>
    <x v="16"/>
    <x v="2"/>
    <d v="2025-01-13T00:00:00"/>
    <x v="0"/>
    <x v="7"/>
    <n v="4090"/>
    <n v="209"/>
    <n v="278"/>
    <n v="52853"/>
    <n v="57084"/>
    <n v="102"/>
    <x v="0"/>
    <x v="3"/>
    <x v="2"/>
    <n v="3"/>
    <x v="16"/>
  </r>
  <r>
    <x v="17"/>
    <x v="0"/>
    <d v="2025-01-17T00:00:00"/>
    <x v="0"/>
    <x v="4"/>
    <n v="2266"/>
    <n v="126"/>
    <n v="140"/>
    <n v="53759"/>
    <n v="46834"/>
    <n v="277"/>
    <x v="1"/>
    <x v="3"/>
    <x v="2"/>
    <n v="3"/>
    <x v="17"/>
  </r>
  <r>
    <x v="18"/>
    <x v="0"/>
    <d v="2025-01-16T00:00:00"/>
    <x v="0"/>
    <x v="7"/>
    <n v="2605"/>
    <n v="282"/>
    <n v="148"/>
    <n v="32201"/>
    <n v="49583"/>
    <n v="241"/>
    <x v="0"/>
    <x v="0"/>
    <x v="0"/>
    <n v="3"/>
    <x v="18"/>
  </r>
  <r>
    <x v="19"/>
    <x v="1"/>
    <d v="2024-01-14T00:00:00"/>
    <x v="0"/>
    <x v="0"/>
    <n v="3634"/>
    <n v="280"/>
    <n v="399"/>
    <n v="40256"/>
    <n v="52605"/>
    <n v="213"/>
    <x v="1"/>
    <x v="2"/>
    <x v="2"/>
    <n v="3"/>
    <x v="19"/>
  </r>
  <r>
    <x v="20"/>
    <x v="0"/>
    <d v="2025-01-12T00:00:00"/>
    <x v="0"/>
    <x v="8"/>
    <n v="1771"/>
    <n v="487"/>
    <n v="272"/>
    <n v="48810"/>
    <n v="48084"/>
    <n v="272"/>
    <x v="0"/>
    <x v="0"/>
    <x v="0"/>
    <n v="3"/>
    <x v="20"/>
  </r>
  <r>
    <x v="21"/>
    <x v="1"/>
    <d v="2025-01-15T00:00:00"/>
    <x v="0"/>
    <x v="6"/>
    <n v="2599"/>
    <n v="324"/>
    <n v="182"/>
    <n v="37525"/>
    <n v="37216"/>
    <n v="186"/>
    <x v="1"/>
    <x v="2"/>
    <x v="2"/>
    <n v="3"/>
    <x v="21"/>
  </r>
  <r>
    <x v="22"/>
    <x v="2"/>
    <d v="2025-01-12T00:00:00"/>
    <x v="0"/>
    <x v="7"/>
    <n v="1765"/>
    <n v="285"/>
    <n v="100"/>
    <n v="41313"/>
    <n v="56575"/>
    <n v="174"/>
    <x v="0"/>
    <x v="3"/>
    <x v="2"/>
    <n v="3"/>
    <x v="22"/>
  </r>
  <r>
    <x v="23"/>
    <x v="2"/>
    <d v="2024-01-17T00:00:00"/>
    <x v="2"/>
    <x v="0"/>
    <n v="2174"/>
    <n v="499"/>
    <n v="212"/>
    <n v="54938"/>
    <n v="27190"/>
    <n v="265"/>
    <x v="2"/>
    <x v="0"/>
    <x v="0"/>
    <n v="3"/>
    <x v="23"/>
  </r>
  <r>
    <x v="24"/>
    <x v="1"/>
    <d v="2024-01-14T00:00:00"/>
    <x v="0"/>
    <x v="3"/>
    <n v="4502"/>
    <n v="238"/>
    <n v="386"/>
    <n v="39198"/>
    <n v="25050"/>
    <n v="297"/>
    <x v="1"/>
    <x v="2"/>
    <x v="2"/>
    <n v="3"/>
    <x v="24"/>
  </r>
  <r>
    <x v="25"/>
    <x v="2"/>
    <d v="2025-01-22T00:00:00"/>
    <x v="2"/>
    <x v="0"/>
    <n v="4478"/>
    <n v="101"/>
    <n v="121"/>
    <n v="51035"/>
    <n v="58207"/>
    <n v="205"/>
    <x v="2"/>
    <x v="0"/>
    <x v="0"/>
    <n v="4"/>
    <x v="25"/>
  </r>
  <r>
    <x v="26"/>
    <x v="2"/>
    <d v="2024-01-22T00:00:00"/>
    <x v="2"/>
    <x v="8"/>
    <n v="1554"/>
    <n v="455"/>
    <n v="158"/>
    <n v="41947"/>
    <n v="48578"/>
    <n v="101"/>
    <x v="0"/>
    <x v="0"/>
    <x v="0"/>
    <n v="4"/>
    <x v="26"/>
  </r>
  <r>
    <x v="27"/>
    <x v="2"/>
    <d v="2025-01-21T00:00:00"/>
    <x v="2"/>
    <x v="9"/>
    <n v="2494"/>
    <n v="494"/>
    <n v="55"/>
    <n v="22580"/>
    <n v="22214"/>
    <n v="109"/>
    <x v="2"/>
    <x v="0"/>
    <x v="0"/>
    <n v="4"/>
    <x v="27"/>
  </r>
  <r>
    <x v="28"/>
    <x v="0"/>
    <d v="2024-01-26T00:00:00"/>
    <x v="0"/>
    <x v="3"/>
    <n v="3878"/>
    <n v="431"/>
    <n v="97"/>
    <n v="41763"/>
    <n v="29729"/>
    <n v="191"/>
    <x v="1"/>
    <x v="3"/>
    <x v="2"/>
    <n v="4"/>
    <x v="28"/>
  </r>
  <r>
    <x v="29"/>
    <x v="2"/>
    <d v="2025-01-20T00:00:00"/>
    <x v="2"/>
    <x v="0"/>
    <n v="4619"/>
    <n v="272"/>
    <n v="57"/>
    <n v="21334"/>
    <n v="46292"/>
    <n v="91"/>
    <x v="0"/>
    <x v="0"/>
    <x v="0"/>
    <n v="4"/>
    <x v="29"/>
  </r>
  <r>
    <x v="30"/>
    <x v="1"/>
    <d v="2024-01-27T00:00:00"/>
    <x v="0"/>
    <x v="6"/>
    <n v="1976"/>
    <n v="262"/>
    <n v="218"/>
    <n v="51696"/>
    <n v="44846"/>
    <n v="139"/>
    <x v="1"/>
    <x v="2"/>
    <x v="2"/>
    <n v="4"/>
    <x v="30"/>
  </r>
  <r>
    <x v="31"/>
    <x v="2"/>
    <d v="2024-01-21T00:00:00"/>
    <x v="2"/>
    <x v="9"/>
    <n v="2383"/>
    <n v="136"/>
    <n v="302"/>
    <n v="39187"/>
    <n v="22133"/>
    <n v="208"/>
    <x v="2"/>
    <x v="0"/>
    <x v="0"/>
    <n v="4"/>
    <x v="31"/>
  </r>
  <r>
    <x v="32"/>
    <x v="2"/>
    <d v="2025-01-19T00:00:00"/>
    <x v="2"/>
    <x v="7"/>
    <n v="1651"/>
    <n v="480"/>
    <n v="282"/>
    <n v="32140"/>
    <n v="70560"/>
    <n v="138"/>
    <x v="0"/>
    <x v="0"/>
    <x v="0"/>
    <n v="4"/>
    <x v="32"/>
  </r>
  <r>
    <x v="33"/>
    <x v="2"/>
    <d v="2025-01-19T00:00:00"/>
    <x v="2"/>
    <x v="0"/>
    <n v="3507"/>
    <n v="295"/>
    <n v="371"/>
    <n v="20410"/>
    <n v="53965"/>
    <n v="212"/>
    <x v="0"/>
    <x v="0"/>
    <x v="0"/>
    <n v="4"/>
    <x v="33"/>
  </r>
  <r>
    <x v="34"/>
    <x v="0"/>
    <d v="2025-01-21T00:00:00"/>
    <x v="2"/>
    <x v="0"/>
    <n v="4918"/>
    <n v="440"/>
    <n v="149"/>
    <n v="53269"/>
    <n v="64370"/>
    <n v="269"/>
    <x v="3"/>
    <x v="3"/>
    <x v="3"/>
    <n v="4"/>
    <x v="34"/>
  </r>
  <r>
    <x v="35"/>
    <x v="0"/>
    <d v="2025-02-01T00:00:00"/>
    <x v="0"/>
    <x v="1"/>
    <n v="1934"/>
    <n v="210"/>
    <n v="393"/>
    <n v="29129"/>
    <n v="73287"/>
    <n v="273"/>
    <x v="1"/>
    <x v="3"/>
    <x v="2"/>
    <n v="5"/>
    <x v="35"/>
  </r>
  <r>
    <x v="36"/>
    <x v="0"/>
    <d v="2024-02-03T00:00:00"/>
    <x v="2"/>
    <x v="7"/>
    <n v="4281"/>
    <n v="101"/>
    <n v="163"/>
    <n v="32278"/>
    <n v="53382"/>
    <n v="235"/>
    <x v="3"/>
    <x v="3"/>
    <x v="3"/>
    <n v="5"/>
    <x v="36"/>
  </r>
  <r>
    <x v="37"/>
    <x v="0"/>
    <d v="2025-01-26T00:00:00"/>
    <x v="2"/>
    <x v="3"/>
    <n v="3451"/>
    <n v="363"/>
    <n v="393"/>
    <n v="44853"/>
    <n v="69032"/>
    <n v="211"/>
    <x v="3"/>
    <x v="3"/>
    <x v="3"/>
    <n v="5"/>
    <x v="37"/>
  </r>
  <r>
    <x v="38"/>
    <x v="2"/>
    <d v="2024-01-28T00:00:00"/>
    <x v="0"/>
    <x v="7"/>
    <n v="1456"/>
    <n v="265"/>
    <n v="137"/>
    <n v="53485"/>
    <n v="59729"/>
    <n v="145"/>
    <x v="0"/>
    <x v="3"/>
    <x v="2"/>
    <n v="5"/>
    <x v="38"/>
  </r>
  <r>
    <x v="39"/>
    <x v="1"/>
    <d v="2025-01-27T00:00:00"/>
    <x v="0"/>
    <x v="5"/>
    <n v="4294"/>
    <n v="423"/>
    <n v="93"/>
    <n v="29828"/>
    <n v="73144"/>
    <n v="298"/>
    <x v="1"/>
    <x v="2"/>
    <x v="2"/>
    <n v="5"/>
    <x v="39"/>
  </r>
  <r>
    <x v="40"/>
    <x v="2"/>
    <d v="2025-02-01T00:00:00"/>
    <x v="2"/>
    <x v="4"/>
    <n v="1079"/>
    <n v="265"/>
    <n v="190"/>
    <n v="43786"/>
    <n v="72428"/>
    <n v="222"/>
    <x v="0"/>
    <x v="0"/>
    <x v="0"/>
    <n v="5"/>
    <x v="40"/>
  </r>
  <r>
    <x v="41"/>
    <x v="1"/>
    <d v="2024-02-01T00:00:00"/>
    <x v="0"/>
    <x v="5"/>
    <n v="1432"/>
    <n v="437"/>
    <n v="267"/>
    <n v="40634"/>
    <n v="54511"/>
    <n v="197"/>
    <x v="1"/>
    <x v="2"/>
    <x v="2"/>
    <n v="5"/>
    <x v="41"/>
  </r>
  <r>
    <x v="42"/>
    <x v="2"/>
    <d v="2024-02-02T00:00:00"/>
    <x v="0"/>
    <x v="8"/>
    <n v="3818"/>
    <n v="115"/>
    <n v="286"/>
    <n v="25127"/>
    <n v="22277"/>
    <n v="263"/>
    <x v="3"/>
    <x v="3"/>
    <x v="0"/>
    <n v="5"/>
    <x v="42"/>
  </r>
  <r>
    <x v="43"/>
    <x v="1"/>
    <d v="2025-01-29T00:00:00"/>
    <x v="0"/>
    <x v="0"/>
    <n v="1334"/>
    <n v="357"/>
    <n v="257"/>
    <n v="56910"/>
    <n v="70606"/>
    <n v="228"/>
    <x v="1"/>
    <x v="2"/>
    <x v="2"/>
    <n v="5"/>
    <x v="43"/>
  </r>
  <r>
    <x v="44"/>
    <x v="0"/>
    <d v="2025-02-05T00:00:00"/>
    <x v="2"/>
    <x v="7"/>
    <n v="3074"/>
    <n v="371"/>
    <n v="348"/>
    <n v="24104"/>
    <n v="57803"/>
    <n v="213"/>
    <x v="3"/>
    <x v="3"/>
    <x v="3"/>
    <n v="6"/>
    <x v="44"/>
  </r>
  <r>
    <x v="45"/>
    <x v="2"/>
    <d v="2025-02-08T00:00:00"/>
    <x v="2"/>
    <x v="6"/>
    <n v="4752"/>
    <n v="334"/>
    <n v="56"/>
    <n v="48017"/>
    <n v="55534"/>
    <n v="270"/>
    <x v="1"/>
    <x v="4"/>
    <x v="0"/>
    <n v="6"/>
    <x v="45"/>
  </r>
  <r>
    <x v="46"/>
    <x v="1"/>
    <d v="2024-02-08T00:00:00"/>
    <x v="1"/>
    <x v="4"/>
    <n v="1889"/>
    <n v="298"/>
    <n v="122"/>
    <n v="46225"/>
    <n v="74305"/>
    <n v="293"/>
    <x v="1"/>
    <x v="1"/>
    <x v="1"/>
    <n v="6"/>
    <x v="46"/>
  </r>
  <r>
    <x v="47"/>
    <x v="2"/>
    <d v="2024-02-10T00:00:00"/>
    <x v="0"/>
    <x v="8"/>
    <n v="1519"/>
    <n v="456"/>
    <n v="379"/>
    <n v="51611"/>
    <n v="45880"/>
    <n v="176"/>
    <x v="0"/>
    <x v="3"/>
    <x v="2"/>
    <n v="6"/>
    <x v="47"/>
  </r>
  <r>
    <x v="48"/>
    <x v="2"/>
    <d v="2025-02-03T00:00:00"/>
    <x v="0"/>
    <x v="3"/>
    <n v="4995"/>
    <n v="231"/>
    <n v="94"/>
    <n v="34431"/>
    <n v="32560"/>
    <n v="262"/>
    <x v="3"/>
    <x v="3"/>
    <x v="0"/>
    <n v="6"/>
    <x v="48"/>
  </r>
  <r>
    <x v="49"/>
    <x v="2"/>
    <d v="2025-02-05T00:00:00"/>
    <x v="2"/>
    <x v="9"/>
    <n v="3029"/>
    <n v="440"/>
    <n v="66"/>
    <n v="23815"/>
    <n v="47895"/>
    <n v="210"/>
    <x v="1"/>
    <x v="4"/>
    <x v="0"/>
    <n v="6"/>
    <x v="49"/>
  </r>
  <r>
    <x v="50"/>
    <x v="0"/>
    <d v="2025-02-03T00:00:00"/>
    <x v="2"/>
    <x v="0"/>
    <n v="1205"/>
    <n v="486"/>
    <n v="269"/>
    <n v="23341"/>
    <n v="42411"/>
    <n v="184"/>
    <x v="3"/>
    <x v="3"/>
    <x v="3"/>
    <n v="6"/>
    <x v="50"/>
  </r>
  <r>
    <x v="51"/>
    <x v="0"/>
    <d v="2024-02-07T00:00:00"/>
    <x v="0"/>
    <x v="7"/>
    <n v="1883"/>
    <n v="432"/>
    <n v="397"/>
    <n v="28759"/>
    <n v="18691"/>
    <n v="270"/>
    <x v="0"/>
    <x v="0"/>
    <x v="0"/>
    <n v="6"/>
    <x v="51"/>
  </r>
  <r>
    <x v="52"/>
    <x v="0"/>
    <d v="2025-02-14T00:00:00"/>
    <x v="0"/>
    <x v="4"/>
    <n v="4891"/>
    <n v="450"/>
    <n v="387"/>
    <n v="48746"/>
    <n v="37312"/>
    <n v="154"/>
    <x v="0"/>
    <x v="0"/>
    <x v="0"/>
    <n v="7"/>
    <x v="52"/>
  </r>
  <r>
    <x v="53"/>
    <x v="0"/>
    <d v="2024-02-12T00:00:00"/>
    <x v="0"/>
    <x v="1"/>
    <n v="2923"/>
    <n v="330"/>
    <n v="250"/>
    <n v="23993"/>
    <n v="74590"/>
    <n v="92"/>
    <x v="1"/>
    <x v="3"/>
    <x v="2"/>
    <n v="7"/>
    <x v="53"/>
  </r>
  <r>
    <x v="54"/>
    <x v="0"/>
    <d v="2024-02-14T00:00:00"/>
    <x v="0"/>
    <x v="7"/>
    <n v="1830"/>
    <n v="112"/>
    <n v="181"/>
    <n v="31870"/>
    <n v="55742"/>
    <n v="263"/>
    <x v="0"/>
    <x v="0"/>
    <x v="0"/>
    <n v="7"/>
    <x v="54"/>
  </r>
  <r>
    <x v="55"/>
    <x v="0"/>
    <d v="2025-02-14T00:00:00"/>
    <x v="0"/>
    <x v="9"/>
    <n v="2329"/>
    <n v="373"/>
    <n v="291"/>
    <n v="49577"/>
    <n v="28002"/>
    <n v="82"/>
    <x v="0"/>
    <x v="0"/>
    <x v="0"/>
    <n v="7"/>
    <x v="55"/>
  </r>
  <r>
    <x v="56"/>
    <x v="2"/>
    <d v="2024-02-12T00:00:00"/>
    <x v="0"/>
    <x v="1"/>
    <n v="2691"/>
    <n v="486"/>
    <n v="206"/>
    <n v="51133"/>
    <n v="44583"/>
    <n v="276"/>
    <x v="3"/>
    <x v="3"/>
    <x v="0"/>
    <n v="7"/>
    <x v="56"/>
  </r>
  <r>
    <x v="57"/>
    <x v="0"/>
    <d v="2025-02-19T00:00:00"/>
    <x v="2"/>
    <x v="8"/>
    <n v="2422"/>
    <n v="455"/>
    <n v="376"/>
    <n v="23428"/>
    <n v="46775"/>
    <n v="259"/>
    <x v="3"/>
    <x v="3"/>
    <x v="3"/>
    <n v="8"/>
    <x v="57"/>
  </r>
  <r>
    <x v="58"/>
    <x v="2"/>
    <d v="2025-02-17T00:00:00"/>
    <x v="2"/>
    <x v="3"/>
    <n v="4796"/>
    <n v="427"/>
    <n v="339"/>
    <n v="30752"/>
    <n v="33870"/>
    <n v="298"/>
    <x v="0"/>
    <x v="0"/>
    <x v="0"/>
    <n v="8"/>
    <x v="58"/>
  </r>
  <r>
    <x v="59"/>
    <x v="0"/>
    <d v="2025-02-16T00:00:00"/>
    <x v="0"/>
    <x v="6"/>
    <n v="1333"/>
    <n v="286"/>
    <n v="298"/>
    <n v="36174"/>
    <n v="34517"/>
    <n v="170"/>
    <x v="0"/>
    <x v="0"/>
    <x v="0"/>
    <n v="8"/>
    <x v="59"/>
  </r>
  <r>
    <x v="60"/>
    <x v="0"/>
    <d v="2024-02-18T00:00:00"/>
    <x v="2"/>
    <x v="8"/>
    <n v="1516"/>
    <n v="215"/>
    <n v="332"/>
    <n v="58981"/>
    <n v="36118"/>
    <n v="211"/>
    <x v="3"/>
    <x v="3"/>
    <x v="3"/>
    <n v="8"/>
    <x v="60"/>
  </r>
  <r>
    <x v="61"/>
    <x v="2"/>
    <d v="2024-02-24T00:00:00"/>
    <x v="2"/>
    <x v="7"/>
    <n v="1022"/>
    <n v="463"/>
    <n v="360"/>
    <n v="51468"/>
    <n v="24279"/>
    <n v="230"/>
    <x v="1"/>
    <x v="4"/>
    <x v="0"/>
    <n v="8"/>
    <x v="61"/>
  </r>
  <r>
    <x v="62"/>
    <x v="0"/>
    <d v="2024-02-22T00:00:00"/>
    <x v="0"/>
    <x v="0"/>
    <n v="1902"/>
    <n v="394"/>
    <n v="279"/>
    <n v="24615"/>
    <n v="51330"/>
    <n v="176"/>
    <x v="0"/>
    <x v="0"/>
    <x v="0"/>
    <n v="8"/>
    <x v="62"/>
  </r>
  <r>
    <x v="63"/>
    <x v="1"/>
    <d v="2025-02-20T00:00:00"/>
    <x v="1"/>
    <x v="2"/>
    <n v="4957"/>
    <n v="262"/>
    <n v="365"/>
    <n v="49199"/>
    <n v="40314"/>
    <n v="216"/>
    <x v="1"/>
    <x v="1"/>
    <x v="1"/>
    <n v="8"/>
    <x v="63"/>
  </r>
  <r>
    <x v="64"/>
    <x v="1"/>
    <d v="2024-02-24T00:00:00"/>
    <x v="1"/>
    <x v="9"/>
    <n v="4221"/>
    <n v="307"/>
    <n v="58"/>
    <n v="45080"/>
    <n v="37214"/>
    <n v="240"/>
    <x v="1"/>
    <x v="1"/>
    <x v="1"/>
    <n v="8"/>
    <x v="64"/>
  </r>
  <r>
    <x v="65"/>
    <x v="1"/>
    <d v="2024-02-24T00:00:00"/>
    <x v="0"/>
    <x v="7"/>
    <n v="4653"/>
    <n v="226"/>
    <n v="349"/>
    <n v="56876"/>
    <n v="28452"/>
    <n v="257"/>
    <x v="1"/>
    <x v="2"/>
    <x v="2"/>
    <n v="8"/>
    <x v="65"/>
  </r>
  <r>
    <x v="66"/>
    <x v="0"/>
    <d v="2024-02-19T00:00:00"/>
    <x v="0"/>
    <x v="5"/>
    <n v="4752"/>
    <n v="449"/>
    <n v="309"/>
    <n v="58530"/>
    <n v="26630"/>
    <n v="234"/>
    <x v="1"/>
    <x v="3"/>
    <x v="2"/>
    <n v="8"/>
    <x v="66"/>
  </r>
  <r>
    <x v="67"/>
    <x v="2"/>
    <d v="2024-02-21T00:00:00"/>
    <x v="2"/>
    <x v="2"/>
    <n v="2604"/>
    <n v="439"/>
    <n v="148"/>
    <n v="58468"/>
    <n v="39629"/>
    <n v="163"/>
    <x v="2"/>
    <x v="0"/>
    <x v="0"/>
    <n v="8"/>
    <x v="67"/>
  </r>
  <r>
    <x v="68"/>
    <x v="0"/>
    <d v="2024-02-29T00:00:00"/>
    <x v="0"/>
    <x v="8"/>
    <n v="1100"/>
    <n v="229"/>
    <n v="312"/>
    <n v="25641"/>
    <n v="34601"/>
    <n v="169"/>
    <x v="1"/>
    <x v="3"/>
    <x v="2"/>
    <n v="9"/>
    <x v="68"/>
  </r>
  <r>
    <x v="69"/>
    <x v="2"/>
    <d v="2024-03-06T00:00:00"/>
    <x v="0"/>
    <x v="9"/>
    <n v="1971"/>
    <n v="370"/>
    <n v="306"/>
    <n v="31316"/>
    <n v="27897"/>
    <n v="88"/>
    <x v="0"/>
    <x v="3"/>
    <x v="2"/>
    <n v="10"/>
    <x v="69"/>
  </r>
  <r>
    <x v="70"/>
    <x v="1"/>
    <d v="2024-03-05T00:00:00"/>
    <x v="1"/>
    <x v="1"/>
    <n v="3558"/>
    <n v="314"/>
    <n v="199"/>
    <n v="49612"/>
    <n v="53929"/>
    <n v="206"/>
    <x v="1"/>
    <x v="1"/>
    <x v="1"/>
    <n v="10"/>
    <x v="70"/>
  </r>
  <r>
    <x v="71"/>
    <x v="0"/>
    <d v="2025-03-06T00:00:00"/>
    <x v="0"/>
    <x v="2"/>
    <n v="4851"/>
    <n v="460"/>
    <n v="212"/>
    <n v="58075"/>
    <n v="59574"/>
    <n v="239"/>
    <x v="1"/>
    <x v="3"/>
    <x v="2"/>
    <n v="10"/>
    <x v="71"/>
  </r>
  <r>
    <x v="72"/>
    <x v="2"/>
    <d v="2025-03-07T00:00:00"/>
    <x v="0"/>
    <x v="2"/>
    <n v="4234"/>
    <n v="486"/>
    <n v="276"/>
    <n v="56623"/>
    <n v="41343"/>
    <n v="184"/>
    <x v="0"/>
    <x v="3"/>
    <x v="2"/>
    <n v="10"/>
    <x v="72"/>
  </r>
  <r>
    <x v="73"/>
    <x v="1"/>
    <d v="2025-03-02T00:00:00"/>
    <x v="0"/>
    <x v="8"/>
    <n v="4425"/>
    <n v="185"/>
    <n v="162"/>
    <n v="24610"/>
    <n v="21342"/>
    <n v="158"/>
    <x v="1"/>
    <x v="2"/>
    <x v="2"/>
    <n v="10"/>
    <x v="73"/>
  </r>
  <r>
    <x v="74"/>
    <x v="1"/>
    <d v="2025-03-07T00:00:00"/>
    <x v="0"/>
    <x v="4"/>
    <n v="4310"/>
    <n v="284"/>
    <n v="306"/>
    <n v="44606"/>
    <n v="42604"/>
    <n v="290"/>
    <x v="1"/>
    <x v="2"/>
    <x v="2"/>
    <n v="10"/>
    <x v="74"/>
  </r>
  <r>
    <x v="75"/>
    <x v="0"/>
    <d v="2024-03-06T00:00:00"/>
    <x v="0"/>
    <x v="3"/>
    <n v="3529"/>
    <n v="263"/>
    <n v="107"/>
    <n v="26570"/>
    <n v="19367"/>
    <n v="96"/>
    <x v="1"/>
    <x v="3"/>
    <x v="2"/>
    <n v="10"/>
    <x v="75"/>
  </r>
  <r>
    <x v="76"/>
    <x v="2"/>
    <d v="2025-03-04T00:00:00"/>
    <x v="0"/>
    <x v="9"/>
    <n v="2177"/>
    <n v="258"/>
    <n v="292"/>
    <n v="47276"/>
    <n v="51324"/>
    <n v="143"/>
    <x v="3"/>
    <x v="3"/>
    <x v="0"/>
    <n v="10"/>
    <x v="76"/>
  </r>
  <r>
    <x v="77"/>
    <x v="0"/>
    <d v="2025-03-08T00:00:00"/>
    <x v="2"/>
    <x v="4"/>
    <n v="2244"/>
    <n v="392"/>
    <n v="231"/>
    <n v="25834"/>
    <n v="50906"/>
    <n v="165"/>
    <x v="3"/>
    <x v="3"/>
    <x v="3"/>
    <n v="10"/>
    <x v="77"/>
  </r>
  <r>
    <x v="78"/>
    <x v="1"/>
    <d v="2024-03-14T00:00:00"/>
    <x v="1"/>
    <x v="8"/>
    <n v="3361"/>
    <n v="188"/>
    <n v="358"/>
    <n v="39838"/>
    <n v="24536"/>
    <n v="120"/>
    <x v="1"/>
    <x v="1"/>
    <x v="1"/>
    <n v="11"/>
    <x v="78"/>
  </r>
  <r>
    <x v="79"/>
    <x v="2"/>
    <d v="2024-03-16T00:00:00"/>
    <x v="2"/>
    <x v="5"/>
    <n v="2895"/>
    <n v="292"/>
    <n v="90"/>
    <n v="24223"/>
    <n v="54626"/>
    <n v="114"/>
    <x v="0"/>
    <x v="0"/>
    <x v="0"/>
    <n v="11"/>
    <x v="79"/>
  </r>
  <r>
    <x v="80"/>
    <x v="2"/>
    <d v="2024-03-15T00:00:00"/>
    <x v="2"/>
    <x v="2"/>
    <n v="4969"/>
    <n v="433"/>
    <n v="237"/>
    <n v="59552"/>
    <n v="23885"/>
    <n v="157"/>
    <x v="1"/>
    <x v="4"/>
    <x v="0"/>
    <n v="11"/>
    <x v="80"/>
  </r>
  <r>
    <x v="81"/>
    <x v="2"/>
    <d v="2025-03-09T00:00:00"/>
    <x v="0"/>
    <x v="6"/>
    <n v="2754"/>
    <n v="215"/>
    <n v="264"/>
    <n v="27762"/>
    <n v="70203"/>
    <n v="289"/>
    <x v="3"/>
    <x v="3"/>
    <x v="0"/>
    <n v="11"/>
    <x v="81"/>
  </r>
  <r>
    <x v="82"/>
    <x v="2"/>
    <d v="2025-03-18T00:00:00"/>
    <x v="2"/>
    <x v="1"/>
    <n v="3418"/>
    <n v="188"/>
    <n v="387"/>
    <n v="57431"/>
    <n v="36933"/>
    <n v="202"/>
    <x v="2"/>
    <x v="0"/>
    <x v="0"/>
    <n v="12"/>
    <x v="82"/>
  </r>
  <r>
    <x v="83"/>
    <x v="0"/>
    <d v="2024-03-22T00:00:00"/>
    <x v="2"/>
    <x v="9"/>
    <n v="2319"/>
    <n v="484"/>
    <n v="193"/>
    <n v="21202"/>
    <n v="18091"/>
    <n v="241"/>
    <x v="3"/>
    <x v="3"/>
    <x v="3"/>
    <n v="12"/>
    <x v="83"/>
  </r>
  <r>
    <x v="84"/>
    <x v="2"/>
    <d v="2025-03-20T00:00:00"/>
    <x v="0"/>
    <x v="6"/>
    <n v="1564"/>
    <n v="362"/>
    <n v="371"/>
    <n v="42075"/>
    <n v="66659"/>
    <n v="205"/>
    <x v="0"/>
    <x v="3"/>
    <x v="2"/>
    <n v="12"/>
    <x v="84"/>
  </r>
  <r>
    <x v="85"/>
    <x v="2"/>
    <d v="2025-03-21T00:00:00"/>
    <x v="2"/>
    <x v="0"/>
    <n v="4609"/>
    <n v="427"/>
    <n v="395"/>
    <n v="33698"/>
    <n v="29259"/>
    <n v="216"/>
    <x v="1"/>
    <x v="4"/>
    <x v="0"/>
    <n v="12"/>
    <x v="85"/>
  </r>
  <r>
    <x v="86"/>
    <x v="2"/>
    <d v="2024-03-19T00:00:00"/>
    <x v="0"/>
    <x v="8"/>
    <n v="2191"/>
    <n v="288"/>
    <n v="83"/>
    <n v="59606"/>
    <n v="24765"/>
    <n v="281"/>
    <x v="0"/>
    <x v="3"/>
    <x v="2"/>
    <n v="12"/>
    <x v="86"/>
  </r>
  <r>
    <x v="87"/>
    <x v="0"/>
    <d v="2024-03-19T00:00:00"/>
    <x v="0"/>
    <x v="8"/>
    <n v="2878"/>
    <n v="278"/>
    <n v="255"/>
    <n v="47235"/>
    <n v="57922"/>
    <n v="112"/>
    <x v="0"/>
    <x v="0"/>
    <x v="0"/>
    <n v="12"/>
    <x v="87"/>
  </r>
  <r>
    <x v="88"/>
    <x v="2"/>
    <d v="2024-03-18T00:00:00"/>
    <x v="0"/>
    <x v="0"/>
    <n v="2033"/>
    <n v="420"/>
    <n v="94"/>
    <n v="56290"/>
    <n v="57391"/>
    <n v="196"/>
    <x v="3"/>
    <x v="3"/>
    <x v="0"/>
    <n v="12"/>
    <x v="88"/>
  </r>
  <r>
    <x v="89"/>
    <x v="1"/>
    <d v="2025-03-22T00:00:00"/>
    <x v="0"/>
    <x v="7"/>
    <n v="4308"/>
    <n v="171"/>
    <n v="106"/>
    <n v="36955"/>
    <n v="23949"/>
    <n v="294"/>
    <x v="1"/>
    <x v="2"/>
    <x v="2"/>
    <n v="12"/>
    <x v="89"/>
  </r>
  <r>
    <x v="90"/>
    <x v="1"/>
    <d v="2025-03-20T00:00:00"/>
    <x v="1"/>
    <x v="8"/>
    <n v="1453"/>
    <n v="156"/>
    <n v="178"/>
    <n v="52980"/>
    <n v="57180"/>
    <n v="286"/>
    <x v="1"/>
    <x v="1"/>
    <x v="1"/>
    <n v="12"/>
    <x v="90"/>
  </r>
  <r>
    <x v="91"/>
    <x v="1"/>
    <d v="2024-03-17T00:00:00"/>
    <x v="1"/>
    <x v="1"/>
    <n v="2692"/>
    <n v="446"/>
    <n v="216"/>
    <n v="45818"/>
    <n v="62723"/>
    <n v="85"/>
    <x v="1"/>
    <x v="1"/>
    <x v="1"/>
    <n v="12"/>
    <x v="91"/>
  </r>
  <r>
    <x v="92"/>
    <x v="2"/>
    <d v="2025-03-20T00:00:00"/>
    <x v="2"/>
    <x v="6"/>
    <n v="3393"/>
    <n v="104"/>
    <n v="79"/>
    <n v="30025"/>
    <n v="21593"/>
    <n v="165"/>
    <x v="2"/>
    <x v="0"/>
    <x v="0"/>
    <n v="12"/>
    <x v="92"/>
  </r>
  <r>
    <x v="93"/>
    <x v="2"/>
    <d v="2024-03-28T00:00:00"/>
    <x v="0"/>
    <x v="7"/>
    <n v="3276"/>
    <n v="421"/>
    <n v="114"/>
    <n v="20580"/>
    <n v="30324"/>
    <n v="221"/>
    <x v="0"/>
    <x v="3"/>
    <x v="2"/>
    <n v="13"/>
    <x v="93"/>
  </r>
  <r>
    <x v="94"/>
    <x v="1"/>
    <d v="2024-03-25T00:00:00"/>
    <x v="1"/>
    <x v="1"/>
    <n v="1948"/>
    <n v="155"/>
    <n v="315"/>
    <n v="30321"/>
    <n v="57121"/>
    <n v="82"/>
    <x v="1"/>
    <x v="1"/>
    <x v="1"/>
    <n v="13"/>
    <x v="94"/>
  </r>
  <r>
    <x v="95"/>
    <x v="0"/>
    <d v="2024-03-28T00:00:00"/>
    <x v="0"/>
    <x v="3"/>
    <n v="1673"/>
    <n v="280"/>
    <n v="67"/>
    <n v="29847"/>
    <n v="48016"/>
    <n v="213"/>
    <x v="0"/>
    <x v="0"/>
    <x v="0"/>
    <n v="13"/>
    <x v="95"/>
  </r>
  <r>
    <x v="96"/>
    <x v="1"/>
    <d v="2024-03-27T00:00:00"/>
    <x v="0"/>
    <x v="7"/>
    <n v="2399"/>
    <n v="191"/>
    <n v="221"/>
    <n v="51603"/>
    <n v="40033"/>
    <n v="173"/>
    <x v="1"/>
    <x v="2"/>
    <x v="2"/>
    <n v="13"/>
    <x v="96"/>
  </r>
  <r>
    <x v="97"/>
    <x v="1"/>
    <d v="2024-04-06T00:00:00"/>
    <x v="0"/>
    <x v="7"/>
    <n v="2748"/>
    <n v="145"/>
    <n v="315"/>
    <n v="24401"/>
    <n v="61182"/>
    <n v="200"/>
    <x v="1"/>
    <x v="2"/>
    <x v="2"/>
    <n v="14"/>
    <x v="97"/>
  </r>
  <r>
    <x v="98"/>
    <x v="1"/>
    <d v="2024-04-02T00:00:00"/>
    <x v="1"/>
    <x v="6"/>
    <n v="4563"/>
    <n v="488"/>
    <n v="356"/>
    <n v="30619"/>
    <n v="23328"/>
    <n v="267"/>
    <x v="1"/>
    <x v="1"/>
    <x v="1"/>
    <n v="14"/>
    <x v="98"/>
  </r>
  <r>
    <x v="99"/>
    <x v="2"/>
    <d v="2024-04-05T00:00:00"/>
    <x v="2"/>
    <x v="0"/>
    <n v="4965"/>
    <n v="175"/>
    <n v="307"/>
    <n v="32793"/>
    <n v="43412"/>
    <n v="296"/>
    <x v="0"/>
    <x v="0"/>
    <x v="0"/>
    <n v="14"/>
    <x v="99"/>
  </r>
  <r>
    <x v="100"/>
    <x v="0"/>
    <d v="2024-04-05T00:00:00"/>
    <x v="0"/>
    <x v="0"/>
    <n v="4383"/>
    <n v="352"/>
    <n v="176"/>
    <n v="53239"/>
    <n v="34168"/>
    <n v="288"/>
    <x v="1"/>
    <x v="3"/>
    <x v="2"/>
    <n v="14"/>
    <x v="100"/>
  </r>
  <r>
    <x v="101"/>
    <x v="0"/>
    <d v="2024-04-03T00:00:00"/>
    <x v="0"/>
    <x v="4"/>
    <n v="2762"/>
    <n v="339"/>
    <n v="323"/>
    <n v="33757"/>
    <n v="68511"/>
    <n v="121"/>
    <x v="0"/>
    <x v="0"/>
    <x v="0"/>
    <n v="14"/>
    <x v="101"/>
  </r>
  <r>
    <x v="102"/>
    <x v="1"/>
    <d v="2025-04-02T00:00:00"/>
    <x v="0"/>
    <x v="5"/>
    <n v="4598"/>
    <n v="455"/>
    <n v="378"/>
    <n v="52952"/>
    <n v="58504"/>
    <n v="269"/>
    <x v="1"/>
    <x v="2"/>
    <x v="2"/>
    <n v="14"/>
    <x v="102"/>
  </r>
  <r>
    <x v="103"/>
    <x v="2"/>
    <d v="2025-04-01T00:00:00"/>
    <x v="2"/>
    <x v="7"/>
    <n v="2665"/>
    <n v="143"/>
    <n v="315"/>
    <n v="54808"/>
    <n v="29818"/>
    <n v="98"/>
    <x v="1"/>
    <x v="4"/>
    <x v="0"/>
    <n v="14"/>
    <x v="103"/>
  </r>
  <r>
    <x v="104"/>
    <x v="2"/>
    <d v="2024-04-05T00:00:00"/>
    <x v="2"/>
    <x v="5"/>
    <n v="2857"/>
    <n v="443"/>
    <n v="359"/>
    <n v="51519"/>
    <n v="28256"/>
    <n v="155"/>
    <x v="0"/>
    <x v="0"/>
    <x v="0"/>
    <n v="14"/>
    <x v="104"/>
  </r>
  <r>
    <x v="105"/>
    <x v="2"/>
    <d v="2024-04-03T00:00:00"/>
    <x v="2"/>
    <x v="4"/>
    <n v="2291"/>
    <n v="146"/>
    <n v="399"/>
    <n v="49319"/>
    <n v="28056"/>
    <n v="90"/>
    <x v="1"/>
    <x v="4"/>
    <x v="0"/>
    <n v="14"/>
    <x v="105"/>
  </r>
  <r>
    <x v="106"/>
    <x v="0"/>
    <d v="2024-04-12T00:00:00"/>
    <x v="2"/>
    <x v="2"/>
    <n v="1558"/>
    <n v="352"/>
    <n v="202"/>
    <n v="25405"/>
    <n v="69941"/>
    <n v="219"/>
    <x v="3"/>
    <x v="3"/>
    <x v="3"/>
    <n v="15"/>
    <x v="106"/>
  </r>
  <r>
    <x v="107"/>
    <x v="2"/>
    <d v="2025-04-07T00:00:00"/>
    <x v="0"/>
    <x v="8"/>
    <n v="1403"/>
    <n v="385"/>
    <n v="344"/>
    <n v="54223"/>
    <n v="72595"/>
    <n v="239"/>
    <x v="0"/>
    <x v="3"/>
    <x v="2"/>
    <n v="15"/>
    <x v="107"/>
  </r>
  <r>
    <x v="108"/>
    <x v="2"/>
    <d v="2025-04-12T00:00:00"/>
    <x v="2"/>
    <x v="8"/>
    <n v="4315"/>
    <n v="208"/>
    <n v="273"/>
    <n v="35780"/>
    <n v="44349"/>
    <n v="133"/>
    <x v="1"/>
    <x v="4"/>
    <x v="0"/>
    <n v="15"/>
    <x v="108"/>
  </r>
  <r>
    <x v="109"/>
    <x v="0"/>
    <d v="2024-04-19T00:00:00"/>
    <x v="0"/>
    <x v="0"/>
    <n v="4001"/>
    <n v="353"/>
    <n v="129"/>
    <n v="41265"/>
    <n v="37279"/>
    <n v="275"/>
    <x v="0"/>
    <x v="0"/>
    <x v="0"/>
    <n v="16"/>
    <x v="109"/>
  </r>
  <r>
    <x v="110"/>
    <x v="1"/>
    <d v="2024-04-16T00:00:00"/>
    <x v="0"/>
    <x v="9"/>
    <n v="4674"/>
    <n v="326"/>
    <n v="62"/>
    <n v="45503"/>
    <n v="46814"/>
    <n v="116"/>
    <x v="1"/>
    <x v="2"/>
    <x v="2"/>
    <n v="16"/>
    <x v="110"/>
  </r>
  <r>
    <x v="111"/>
    <x v="0"/>
    <d v="2025-04-16T00:00:00"/>
    <x v="0"/>
    <x v="5"/>
    <n v="4836"/>
    <n v="331"/>
    <n v="140"/>
    <n v="58792"/>
    <n v="47711"/>
    <n v="227"/>
    <x v="0"/>
    <x v="0"/>
    <x v="0"/>
    <n v="16"/>
    <x v="111"/>
  </r>
  <r>
    <x v="112"/>
    <x v="0"/>
    <d v="2025-04-15T00:00:00"/>
    <x v="0"/>
    <x v="1"/>
    <n v="4177"/>
    <n v="489"/>
    <n v="331"/>
    <n v="57451"/>
    <n v="73793"/>
    <n v="251"/>
    <x v="1"/>
    <x v="3"/>
    <x v="2"/>
    <n v="16"/>
    <x v="112"/>
  </r>
  <r>
    <x v="113"/>
    <x v="2"/>
    <d v="2025-04-13T00:00:00"/>
    <x v="0"/>
    <x v="8"/>
    <n v="3890"/>
    <n v="408"/>
    <n v="338"/>
    <n v="56994"/>
    <n v="32621"/>
    <n v="286"/>
    <x v="0"/>
    <x v="3"/>
    <x v="2"/>
    <n v="16"/>
    <x v="113"/>
  </r>
  <r>
    <x v="114"/>
    <x v="1"/>
    <d v="2024-04-18T00:00:00"/>
    <x v="0"/>
    <x v="1"/>
    <n v="4023"/>
    <n v="293"/>
    <n v="91"/>
    <n v="26795"/>
    <n v="28924"/>
    <n v="278"/>
    <x v="1"/>
    <x v="2"/>
    <x v="2"/>
    <n v="16"/>
    <x v="114"/>
  </r>
  <r>
    <x v="115"/>
    <x v="2"/>
    <d v="2025-04-16T00:00:00"/>
    <x v="0"/>
    <x v="5"/>
    <n v="3792"/>
    <n v="315"/>
    <n v="120"/>
    <n v="54592"/>
    <n v="67886"/>
    <n v="117"/>
    <x v="0"/>
    <x v="3"/>
    <x v="2"/>
    <n v="16"/>
    <x v="115"/>
  </r>
  <r>
    <x v="116"/>
    <x v="2"/>
    <d v="2024-04-14T00:00:00"/>
    <x v="2"/>
    <x v="9"/>
    <n v="1295"/>
    <n v="153"/>
    <n v="81"/>
    <n v="48350"/>
    <n v="61033"/>
    <n v="232"/>
    <x v="1"/>
    <x v="4"/>
    <x v="0"/>
    <n v="16"/>
    <x v="116"/>
  </r>
  <r>
    <x v="117"/>
    <x v="1"/>
    <d v="2025-04-18T00:00:00"/>
    <x v="1"/>
    <x v="6"/>
    <n v="1265"/>
    <n v="230"/>
    <n v="364"/>
    <n v="41312"/>
    <n v="50382"/>
    <n v="106"/>
    <x v="1"/>
    <x v="1"/>
    <x v="1"/>
    <n v="16"/>
    <x v="117"/>
  </r>
  <r>
    <x v="118"/>
    <x v="2"/>
    <d v="2025-04-26T00:00:00"/>
    <x v="0"/>
    <x v="9"/>
    <n v="2411"/>
    <n v="194"/>
    <n v="168"/>
    <n v="26665"/>
    <n v="71699"/>
    <n v="197"/>
    <x v="3"/>
    <x v="3"/>
    <x v="0"/>
    <n v="17"/>
    <x v="118"/>
  </r>
  <r>
    <x v="119"/>
    <x v="2"/>
    <d v="2025-04-22T00:00:00"/>
    <x v="0"/>
    <x v="9"/>
    <n v="4401"/>
    <n v="421"/>
    <n v="216"/>
    <n v="24890"/>
    <n v="54361"/>
    <n v="148"/>
    <x v="3"/>
    <x v="3"/>
    <x v="0"/>
    <n v="17"/>
    <x v="119"/>
  </r>
  <r>
    <x v="120"/>
    <x v="2"/>
    <d v="2024-04-23T00:00:00"/>
    <x v="2"/>
    <x v="9"/>
    <n v="2683"/>
    <n v="496"/>
    <n v="89"/>
    <n v="53435"/>
    <n v="30334"/>
    <n v="160"/>
    <x v="0"/>
    <x v="0"/>
    <x v="0"/>
    <n v="17"/>
    <x v="120"/>
  </r>
  <r>
    <x v="121"/>
    <x v="0"/>
    <d v="2024-04-25T00:00:00"/>
    <x v="0"/>
    <x v="7"/>
    <n v="3563"/>
    <n v="483"/>
    <n v="227"/>
    <n v="41085"/>
    <n v="26393"/>
    <n v="236"/>
    <x v="0"/>
    <x v="0"/>
    <x v="0"/>
    <n v="17"/>
    <x v="121"/>
  </r>
  <r>
    <x v="122"/>
    <x v="1"/>
    <d v="2025-04-22T00:00:00"/>
    <x v="1"/>
    <x v="0"/>
    <n v="2733"/>
    <n v="297"/>
    <n v="235"/>
    <n v="37980"/>
    <n v="33058"/>
    <n v="219"/>
    <x v="1"/>
    <x v="1"/>
    <x v="1"/>
    <n v="17"/>
    <x v="122"/>
  </r>
  <r>
    <x v="123"/>
    <x v="0"/>
    <d v="2024-05-04T00:00:00"/>
    <x v="0"/>
    <x v="5"/>
    <n v="2274"/>
    <n v="243"/>
    <n v="222"/>
    <n v="43066"/>
    <n v="59174"/>
    <n v="80"/>
    <x v="1"/>
    <x v="3"/>
    <x v="2"/>
    <n v="18"/>
    <x v="123"/>
  </r>
  <r>
    <x v="124"/>
    <x v="2"/>
    <d v="2025-04-27T00:00:00"/>
    <x v="0"/>
    <x v="1"/>
    <n v="1165"/>
    <n v="294"/>
    <n v="163"/>
    <n v="20659"/>
    <n v="45926"/>
    <n v="111"/>
    <x v="0"/>
    <x v="3"/>
    <x v="2"/>
    <n v="18"/>
    <x v="124"/>
  </r>
  <r>
    <x v="125"/>
    <x v="2"/>
    <d v="2024-05-01T00:00:00"/>
    <x v="2"/>
    <x v="3"/>
    <n v="2587"/>
    <n v="447"/>
    <n v="183"/>
    <n v="36266"/>
    <n v="32877"/>
    <n v="132"/>
    <x v="1"/>
    <x v="4"/>
    <x v="0"/>
    <n v="18"/>
    <x v="125"/>
  </r>
  <r>
    <x v="126"/>
    <x v="0"/>
    <d v="2025-04-30T00:00:00"/>
    <x v="2"/>
    <x v="0"/>
    <n v="3916"/>
    <n v="459"/>
    <n v="229"/>
    <n v="48989"/>
    <n v="39768"/>
    <n v="200"/>
    <x v="3"/>
    <x v="3"/>
    <x v="3"/>
    <n v="18"/>
    <x v="126"/>
  </r>
  <r>
    <x v="127"/>
    <x v="2"/>
    <d v="2025-04-30T00:00:00"/>
    <x v="2"/>
    <x v="5"/>
    <n v="3929"/>
    <n v="275"/>
    <n v="330"/>
    <n v="58329"/>
    <n v="33196"/>
    <n v="85"/>
    <x v="2"/>
    <x v="0"/>
    <x v="0"/>
    <n v="18"/>
    <x v="127"/>
  </r>
  <r>
    <x v="128"/>
    <x v="2"/>
    <d v="2025-05-03T00:00:00"/>
    <x v="2"/>
    <x v="4"/>
    <n v="1010"/>
    <n v="361"/>
    <n v="240"/>
    <n v="47229"/>
    <n v="72573"/>
    <n v="275"/>
    <x v="0"/>
    <x v="0"/>
    <x v="0"/>
    <n v="18"/>
    <x v="128"/>
  </r>
  <r>
    <x v="129"/>
    <x v="0"/>
    <d v="2024-05-01T00:00:00"/>
    <x v="0"/>
    <x v="2"/>
    <n v="3359"/>
    <n v="137"/>
    <n v="387"/>
    <n v="33861"/>
    <n v="47257"/>
    <n v="198"/>
    <x v="1"/>
    <x v="3"/>
    <x v="2"/>
    <n v="18"/>
    <x v="129"/>
  </r>
  <r>
    <x v="130"/>
    <x v="0"/>
    <d v="2025-05-04T00:00:00"/>
    <x v="0"/>
    <x v="9"/>
    <n v="2414"/>
    <n v="245"/>
    <n v="137"/>
    <n v="21181"/>
    <n v="45292"/>
    <n v="133"/>
    <x v="0"/>
    <x v="0"/>
    <x v="0"/>
    <n v="19"/>
    <x v="130"/>
  </r>
  <r>
    <x v="131"/>
    <x v="2"/>
    <d v="2024-05-09T00:00:00"/>
    <x v="2"/>
    <x v="5"/>
    <n v="1428"/>
    <n v="347"/>
    <n v="67"/>
    <n v="21148"/>
    <n v="19712"/>
    <n v="120"/>
    <x v="1"/>
    <x v="4"/>
    <x v="0"/>
    <n v="19"/>
    <x v="131"/>
  </r>
  <r>
    <x v="132"/>
    <x v="2"/>
    <d v="2024-05-06T00:00:00"/>
    <x v="0"/>
    <x v="6"/>
    <n v="3476"/>
    <n v="355"/>
    <n v="396"/>
    <n v="37492"/>
    <n v="27285"/>
    <n v="179"/>
    <x v="3"/>
    <x v="3"/>
    <x v="0"/>
    <n v="19"/>
    <x v="132"/>
  </r>
  <r>
    <x v="133"/>
    <x v="2"/>
    <d v="2024-05-07T00:00:00"/>
    <x v="2"/>
    <x v="1"/>
    <n v="2776"/>
    <n v="307"/>
    <n v="178"/>
    <n v="43365"/>
    <n v="48408"/>
    <n v="138"/>
    <x v="0"/>
    <x v="0"/>
    <x v="0"/>
    <n v="19"/>
    <x v="133"/>
  </r>
  <r>
    <x v="134"/>
    <x v="2"/>
    <d v="2025-05-08T00:00:00"/>
    <x v="2"/>
    <x v="6"/>
    <n v="3316"/>
    <n v="332"/>
    <n v="268"/>
    <n v="40095"/>
    <n v="36913"/>
    <n v="265"/>
    <x v="2"/>
    <x v="0"/>
    <x v="0"/>
    <n v="19"/>
    <x v="134"/>
  </r>
  <r>
    <x v="135"/>
    <x v="2"/>
    <d v="2024-05-08T00:00:00"/>
    <x v="0"/>
    <x v="1"/>
    <n v="1828"/>
    <n v="450"/>
    <n v="214"/>
    <n v="52115"/>
    <n v="19166"/>
    <n v="190"/>
    <x v="3"/>
    <x v="3"/>
    <x v="0"/>
    <n v="19"/>
    <x v="135"/>
  </r>
  <r>
    <x v="136"/>
    <x v="1"/>
    <d v="2025-05-06T00:00:00"/>
    <x v="1"/>
    <x v="9"/>
    <n v="1085"/>
    <n v="496"/>
    <n v="320"/>
    <n v="36528"/>
    <n v="38599"/>
    <n v="270"/>
    <x v="1"/>
    <x v="1"/>
    <x v="1"/>
    <n v="19"/>
    <x v="136"/>
  </r>
  <r>
    <x v="137"/>
    <x v="0"/>
    <d v="2025-05-04T00:00:00"/>
    <x v="2"/>
    <x v="0"/>
    <n v="1311"/>
    <n v="181"/>
    <n v="361"/>
    <n v="37148"/>
    <n v="44875"/>
    <n v="245"/>
    <x v="3"/>
    <x v="3"/>
    <x v="3"/>
    <n v="19"/>
    <x v="137"/>
  </r>
  <r>
    <x v="138"/>
    <x v="2"/>
    <d v="2024-05-09T00:00:00"/>
    <x v="2"/>
    <x v="0"/>
    <n v="3277"/>
    <n v="423"/>
    <n v="259"/>
    <n v="46328"/>
    <n v="44293"/>
    <n v="299"/>
    <x v="0"/>
    <x v="0"/>
    <x v="0"/>
    <n v="19"/>
    <x v="138"/>
  </r>
  <r>
    <x v="139"/>
    <x v="0"/>
    <d v="2024-05-08T00:00:00"/>
    <x v="2"/>
    <x v="7"/>
    <n v="2414"/>
    <n v="220"/>
    <n v="280"/>
    <n v="27355"/>
    <n v="50562"/>
    <n v="258"/>
    <x v="3"/>
    <x v="3"/>
    <x v="3"/>
    <n v="19"/>
    <x v="139"/>
  </r>
  <r>
    <x v="140"/>
    <x v="2"/>
    <d v="2024-05-10T00:00:00"/>
    <x v="2"/>
    <x v="1"/>
    <n v="2784"/>
    <n v="111"/>
    <n v="399"/>
    <n v="58366"/>
    <n v="69512"/>
    <n v="269"/>
    <x v="2"/>
    <x v="0"/>
    <x v="0"/>
    <n v="19"/>
    <x v="140"/>
  </r>
  <r>
    <x v="141"/>
    <x v="2"/>
    <d v="2025-05-09T00:00:00"/>
    <x v="2"/>
    <x v="7"/>
    <n v="2778"/>
    <n v="241"/>
    <n v="317"/>
    <n v="26247"/>
    <n v="20677"/>
    <n v="282"/>
    <x v="2"/>
    <x v="0"/>
    <x v="0"/>
    <n v="19"/>
    <x v="141"/>
  </r>
  <r>
    <x v="142"/>
    <x v="0"/>
    <d v="2024-05-14T00:00:00"/>
    <x v="0"/>
    <x v="9"/>
    <n v="1485"/>
    <n v="353"/>
    <n v="244"/>
    <n v="38419"/>
    <n v="38556"/>
    <n v="86"/>
    <x v="0"/>
    <x v="0"/>
    <x v="0"/>
    <n v="20"/>
    <x v="142"/>
  </r>
  <r>
    <x v="143"/>
    <x v="2"/>
    <d v="2025-05-14T00:00:00"/>
    <x v="2"/>
    <x v="8"/>
    <n v="2707"/>
    <n v="103"/>
    <n v="51"/>
    <n v="55302"/>
    <n v="18801"/>
    <n v="147"/>
    <x v="1"/>
    <x v="4"/>
    <x v="0"/>
    <n v="20"/>
    <x v="143"/>
  </r>
  <r>
    <x v="144"/>
    <x v="1"/>
    <d v="2024-05-13T00:00:00"/>
    <x v="1"/>
    <x v="1"/>
    <n v="4161"/>
    <n v="481"/>
    <n v="61"/>
    <n v="45884"/>
    <n v="48955"/>
    <n v="215"/>
    <x v="1"/>
    <x v="1"/>
    <x v="1"/>
    <n v="20"/>
    <x v="144"/>
  </r>
  <r>
    <x v="145"/>
    <x v="2"/>
    <d v="2025-05-14T00:00:00"/>
    <x v="2"/>
    <x v="5"/>
    <n v="1371"/>
    <n v="139"/>
    <n v="96"/>
    <n v="36140"/>
    <n v="39395"/>
    <n v="169"/>
    <x v="0"/>
    <x v="0"/>
    <x v="0"/>
    <n v="20"/>
    <x v="145"/>
  </r>
  <r>
    <x v="146"/>
    <x v="2"/>
    <d v="2024-05-16T00:00:00"/>
    <x v="2"/>
    <x v="7"/>
    <n v="2023"/>
    <n v="124"/>
    <n v="99"/>
    <n v="54524"/>
    <n v="34790"/>
    <n v="195"/>
    <x v="1"/>
    <x v="4"/>
    <x v="0"/>
    <n v="20"/>
    <x v="146"/>
  </r>
  <r>
    <x v="147"/>
    <x v="1"/>
    <d v="2024-05-12T00:00:00"/>
    <x v="0"/>
    <x v="8"/>
    <n v="2911"/>
    <n v="467"/>
    <n v="94"/>
    <n v="59083"/>
    <n v="49762"/>
    <n v="236"/>
    <x v="1"/>
    <x v="2"/>
    <x v="2"/>
    <n v="20"/>
    <x v="147"/>
  </r>
  <r>
    <x v="148"/>
    <x v="2"/>
    <d v="2025-05-15T00:00:00"/>
    <x v="0"/>
    <x v="0"/>
    <n v="1583"/>
    <n v="433"/>
    <n v="249"/>
    <n v="30256"/>
    <n v="47066"/>
    <n v="196"/>
    <x v="3"/>
    <x v="3"/>
    <x v="0"/>
    <n v="20"/>
    <x v="148"/>
  </r>
  <r>
    <x v="149"/>
    <x v="1"/>
    <d v="2025-05-14T00:00:00"/>
    <x v="0"/>
    <x v="9"/>
    <n v="1701"/>
    <n v="272"/>
    <n v="385"/>
    <n v="47496"/>
    <n v="40832"/>
    <n v="246"/>
    <x v="1"/>
    <x v="2"/>
    <x v="2"/>
    <n v="20"/>
    <x v="149"/>
  </r>
  <r>
    <x v="150"/>
    <x v="2"/>
    <d v="2025-05-15T00:00:00"/>
    <x v="0"/>
    <x v="6"/>
    <n v="4782"/>
    <n v="210"/>
    <n v="311"/>
    <n v="29793"/>
    <n v="37543"/>
    <n v="145"/>
    <x v="3"/>
    <x v="3"/>
    <x v="0"/>
    <n v="20"/>
    <x v="150"/>
  </r>
  <r>
    <x v="151"/>
    <x v="2"/>
    <d v="2024-05-19T00:00:00"/>
    <x v="2"/>
    <x v="2"/>
    <n v="1763"/>
    <n v="206"/>
    <n v="187"/>
    <n v="53342"/>
    <n v="25095"/>
    <n v="88"/>
    <x v="1"/>
    <x v="4"/>
    <x v="0"/>
    <n v="21"/>
    <x v="151"/>
  </r>
  <r>
    <x v="152"/>
    <x v="0"/>
    <d v="2025-05-22T00:00:00"/>
    <x v="0"/>
    <x v="9"/>
    <n v="2633"/>
    <n v="318"/>
    <n v="380"/>
    <n v="40869"/>
    <n v="64474"/>
    <n v="245"/>
    <x v="1"/>
    <x v="3"/>
    <x v="2"/>
    <n v="21"/>
    <x v="152"/>
  </r>
  <r>
    <x v="153"/>
    <x v="1"/>
    <d v="2025-05-18T00:00:00"/>
    <x v="1"/>
    <x v="5"/>
    <n v="4210"/>
    <n v="319"/>
    <n v="350"/>
    <n v="37762"/>
    <n v="55162"/>
    <n v="204"/>
    <x v="1"/>
    <x v="1"/>
    <x v="1"/>
    <n v="21"/>
    <x v="153"/>
  </r>
  <r>
    <x v="154"/>
    <x v="2"/>
    <d v="2025-05-27T00:00:00"/>
    <x v="2"/>
    <x v="1"/>
    <n v="4095"/>
    <n v="385"/>
    <n v="400"/>
    <n v="45300"/>
    <n v="31795"/>
    <n v="80"/>
    <x v="2"/>
    <x v="0"/>
    <x v="0"/>
    <n v="22"/>
    <x v="154"/>
  </r>
  <r>
    <x v="155"/>
    <x v="1"/>
    <d v="2024-05-26T00:00:00"/>
    <x v="0"/>
    <x v="8"/>
    <n v="1488"/>
    <n v="327"/>
    <n v="110"/>
    <n v="53805"/>
    <n v="30239"/>
    <n v="109"/>
    <x v="1"/>
    <x v="2"/>
    <x v="2"/>
    <n v="22"/>
    <x v="155"/>
  </r>
  <r>
    <x v="156"/>
    <x v="2"/>
    <d v="2025-05-28T00:00:00"/>
    <x v="0"/>
    <x v="8"/>
    <n v="2418"/>
    <n v="161"/>
    <n v="360"/>
    <n v="30589"/>
    <n v="41383"/>
    <n v="88"/>
    <x v="3"/>
    <x v="3"/>
    <x v="0"/>
    <n v="22"/>
    <x v="156"/>
  </r>
  <r>
    <x v="157"/>
    <x v="2"/>
    <d v="2025-05-29T00:00:00"/>
    <x v="2"/>
    <x v="7"/>
    <n v="2134"/>
    <n v="322"/>
    <n v="114"/>
    <n v="44338"/>
    <n v="52165"/>
    <n v="176"/>
    <x v="2"/>
    <x v="0"/>
    <x v="0"/>
    <n v="22"/>
    <x v="157"/>
  </r>
  <r>
    <x v="158"/>
    <x v="2"/>
    <d v="2025-05-28T00:00:00"/>
    <x v="2"/>
    <x v="4"/>
    <n v="4287"/>
    <n v="273"/>
    <n v="122"/>
    <n v="40792"/>
    <n v="23878"/>
    <n v="277"/>
    <x v="2"/>
    <x v="0"/>
    <x v="0"/>
    <n v="22"/>
    <x v="158"/>
  </r>
  <r>
    <x v="159"/>
    <x v="2"/>
    <d v="2024-05-30T00:00:00"/>
    <x v="2"/>
    <x v="6"/>
    <n v="2311"/>
    <n v="207"/>
    <n v="363"/>
    <n v="30349"/>
    <n v="32925"/>
    <n v="88"/>
    <x v="2"/>
    <x v="0"/>
    <x v="0"/>
    <n v="22"/>
    <x v="159"/>
  </r>
  <r>
    <x v="160"/>
    <x v="0"/>
    <d v="2025-05-26T00:00:00"/>
    <x v="0"/>
    <x v="9"/>
    <n v="3086"/>
    <n v="148"/>
    <n v="310"/>
    <n v="22824"/>
    <n v="58103"/>
    <n v="275"/>
    <x v="1"/>
    <x v="3"/>
    <x v="2"/>
    <n v="22"/>
    <x v="160"/>
  </r>
  <r>
    <x v="161"/>
    <x v="0"/>
    <d v="2025-05-31T00:00:00"/>
    <x v="0"/>
    <x v="3"/>
    <n v="2169"/>
    <n v="240"/>
    <n v="57"/>
    <n v="26109"/>
    <n v="46667"/>
    <n v="133"/>
    <x v="0"/>
    <x v="0"/>
    <x v="0"/>
    <n v="22"/>
    <x v="161"/>
  </r>
  <r>
    <x v="162"/>
    <x v="1"/>
    <d v="2024-05-30T00:00:00"/>
    <x v="1"/>
    <x v="3"/>
    <n v="1060"/>
    <n v="442"/>
    <n v="319"/>
    <n v="57194"/>
    <n v="24258"/>
    <n v="101"/>
    <x v="1"/>
    <x v="1"/>
    <x v="1"/>
    <n v="22"/>
    <x v="162"/>
  </r>
  <r>
    <x v="163"/>
    <x v="1"/>
    <d v="2025-05-31T00:00:00"/>
    <x v="1"/>
    <x v="2"/>
    <n v="2162"/>
    <n v="318"/>
    <n v="83"/>
    <n v="46719"/>
    <n v="20482"/>
    <n v="185"/>
    <x v="1"/>
    <x v="1"/>
    <x v="1"/>
    <n v="22"/>
    <x v="163"/>
  </r>
  <r>
    <x v="164"/>
    <x v="0"/>
    <d v="2024-05-30T00:00:00"/>
    <x v="2"/>
    <x v="2"/>
    <n v="2448"/>
    <n v="464"/>
    <n v="98"/>
    <n v="25737"/>
    <n v="48545"/>
    <n v="246"/>
    <x v="3"/>
    <x v="3"/>
    <x v="3"/>
    <n v="22"/>
    <x v="164"/>
  </r>
  <r>
    <x v="165"/>
    <x v="0"/>
    <d v="2024-06-04T00:00:00"/>
    <x v="0"/>
    <x v="2"/>
    <n v="3948"/>
    <n v="151"/>
    <n v="249"/>
    <n v="43147"/>
    <n v="63136"/>
    <n v="230"/>
    <x v="1"/>
    <x v="3"/>
    <x v="2"/>
    <n v="23"/>
    <x v="165"/>
  </r>
  <r>
    <x v="166"/>
    <x v="0"/>
    <d v="2025-06-06T00:00:00"/>
    <x v="0"/>
    <x v="5"/>
    <n v="3987"/>
    <n v="171"/>
    <n v="274"/>
    <n v="45122"/>
    <n v="65431"/>
    <n v="168"/>
    <x v="1"/>
    <x v="3"/>
    <x v="2"/>
    <n v="23"/>
    <x v="166"/>
  </r>
  <r>
    <x v="167"/>
    <x v="1"/>
    <d v="2024-06-04T00:00:00"/>
    <x v="1"/>
    <x v="5"/>
    <n v="1211"/>
    <n v="431"/>
    <n v="83"/>
    <n v="26532"/>
    <n v="47305"/>
    <n v="232"/>
    <x v="1"/>
    <x v="1"/>
    <x v="1"/>
    <n v="23"/>
    <x v="167"/>
  </r>
  <r>
    <x v="168"/>
    <x v="2"/>
    <d v="2024-06-08T00:00:00"/>
    <x v="2"/>
    <x v="4"/>
    <n v="3413"/>
    <n v="326"/>
    <n v="86"/>
    <n v="44680"/>
    <n v="52719"/>
    <n v="272"/>
    <x v="1"/>
    <x v="4"/>
    <x v="0"/>
    <n v="23"/>
    <x v="168"/>
  </r>
  <r>
    <x v="169"/>
    <x v="1"/>
    <d v="2024-06-13T00:00:00"/>
    <x v="0"/>
    <x v="3"/>
    <n v="3882"/>
    <n v="239"/>
    <n v="275"/>
    <n v="58748"/>
    <n v="44646"/>
    <n v="149"/>
    <x v="1"/>
    <x v="2"/>
    <x v="2"/>
    <n v="24"/>
    <x v="169"/>
  </r>
  <r>
    <x v="170"/>
    <x v="2"/>
    <d v="2024-06-10T00:00:00"/>
    <x v="0"/>
    <x v="3"/>
    <n v="1514"/>
    <n v="164"/>
    <n v="275"/>
    <n v="41364"/>
    <n v="44389"/>
    <n v="83"/>
    <x v="3"/>
    <x v="3"/>
    <x v="0"/>
    <n v="24"/>
    <x v="170"/>
  </r>
  <r>
    <x v="171"/>
    <x v="1"/>
    <d v="2024-06-15T00:00:00"/>
    <x v="1"/>
    <x v="2"/>
    <n v="1751"/>
    <n v="143"/>
    <n v="151"/>
    <n v="31826"/>
    <n v="47729"/>
    <n v="95"/>
    <x v="1"/>
    <x v="1"/>
    <x v="1"/>
    <n v="24"/>
    <x v="171"/>
  </r>
  <r>
    <x v="172"/>
    <x v="1"/>
    <d v="2024-06-09T00:00:00"/>
    <x v="1"/>
    <x v="8"/>
    <n v="2786"/>
    <n v="368"/>
    <n v="208"/>
    <n v="42000"/>
    <n v="39967"/>
    <n v="103"/>
    <x v="1"/>
    <x v="1"/>
    <x v="1"/>
    <n v="24"/>
    <x v="172"/>
  </r>
  <r>
    <x v="173"/>
    <x v="2"/>
    <d v="2025-06-10T00:00:00"/>
    <x v="0"/>
    <x v="1"/>
    <n v="3615"/>
    <n v="192"/>
    <n v="162"/>
    <n v="27492"/>
    <n v="35341"/>
    <n v="125"/>
    <x v="3"/>
    <x v="3"/>
    <x v="0"/>
    <n v="24"/>
    <x v="173"/>
  </r>
  <r>
    <x v="174"/>
    <x v="2"/>
    <d v="2025-06-11T00:00:00"/>
    <x v="2"/>
    <x v="1"/>
    <n v="3805"/>
    <n v="453"/>
    <n v="63"/>
    <n v="52395"/>
    <n v="72934"/>
    <n v="87"/>
    <x v="1"/>
    <x v="4"/>
    <x v="0"/>
    <n v="24"/>
    <x v="174"/>
  </r>
  <r>
    <x v="175"/>
    <x v="1"/>
    <d v="2025-06-08T00:00:00"/>
    <x v="0"/>
    <x v="7"/>
    <n v="4375"/>
    <n v="303"/>
    <n v="294"/>
    <n v="57468"/>
    <n v="53397"/>
    <n v="159"/>
    <x v="1"/>
    <x v="2"/>
    <x v="2"/>
    <n v="24"/>
    <x v="175"/>
  </r>
  <r>
    <x v="176"/>
    <x v="1"/>
    <d v="2024-06-14T00:00:00"/>
    <x v="1"/>
    <x v="5"/>
    <n v="4722"/>
    <n v="310"/>
    <n v="344"/>
    <n v="27911"/>
    <n v="19000"/>
    <n v="225"/>
    <x v="1"/>
    <x v="1"/>
    <x v="1"/>
    <n v="24"/>
    <x v="176"/>
  </r>
  <r>
    <x v="177"/>
    <x v="2"/>
    <d v="2025-06-18T00:00:00"/>
    <x v="2"/>
    <x v="9"/>
    <n v="3956"/>
    <n v="319"/>
    <n v="61"/>
    <n v="58162"/>
    <n v="28720"/>
    <n v="213"/>
    <x v="2"/>
    <x v="0"/>
    <x v="0"/>
    <n v="25"/>
    <x v="177"/>
  </r>
  <r>
    <x v="178"/>
    <x v="0"/>
    <d v="2025-06-15T00:00:00"/>
    <x v="0"/>
    <x v="3"/>
    <n v="4896"/>
    <n v="466"/>
    <n v="233"/>
    <n v="28621"/>
    <n v="34270"/>
    <n v="84"/>
    <x v="0"/>
    <x v="0"/>
    <x v="0"/>
    <n v="25"/>
    <x v="178"/>
  </r>
  <r>
    <x v="179"/>
    <x v="0"/>
    <d v="2025-06-17T00:00:00"/>
    <x v="0"/>
    <x v="7"/>
    <n v="2284"/>
    <n v="187"/>
    <n v="260"/>
    <n v="37400"/>
    <n v="65014"/>
    <n v="157"/>
    <x v="0"/>
    <x v="0"/>
    <x v="0"/>
    <n v="25"/>
    <x v="179"/>
  </r>
  <r>
    <x v="180"/>
    <x v="0"/>
    <d v="2024-06-17T00:00:00"/>
    <x v="0"/>
    <x v="9"/>
    <n v="4283"/>
    <n v="471"/>
    <n v="156"/>
    <n v="53004"/>
    <n v="25678"/>
    <n v="105"/>
    <x v="1"/>
    <x v="3"/>
    <x v="2"/>
    <n v="25"/>
    <x v="180"/>
  </r>
  <r>
    <x v="181"/>
    <x v="2"/>
    <d v="2024-06-16T00:00:00"/>
    <x v="2"/>
    <x v="1"/>
    <n v="4618"/>
    <n v="312"/>
    <n v="254"/>
    <n v="22571"/>
    <n v="29453"/>
    <n v="197"/>
    <x v="2"/>
    <x v="0"/>
    <x v="0"/>
    <n v="25"/>
    <x v="181"/>
  </r>
  <r>
    <x v="182"/>
    <x v="2"/>
    <d v="2025-06-19T00:00:00"/>
    <x v="2"/>
    <x v="3"/>
    <n v="1433"/>
    <n v="452"/>
    <n v="305"/>
    <n v="54541"/>
    <n v="63700"/>
    <n v="296"/>
    <x v="1"/>
    <x v="4"/>
    <x v="0"/>
    <n v="25"/>
    <x v="182"/>
  </r>
  <r>
    <x v="183"/>
    <x v="2"/>
    <d v="2025-06-21T00:00:00"/>
    <x v="0"/>
    <x v="1"/>
    <n v="3611"/>
    <n v="127"/>
    <n v="139"/>
    <n v="44768"/>
    <n v="29435"/>
    <n v="178"/>
    <x v="3"/>
    <x v="3"/>
    <x v="0"/>
    <n v="25"/>
    <x v="183"/>
  </r>
  <r>
    <x v="184"/>
    <x v="2"/>
    <d v="2024-06-19T00:00:00"/>
    <x v="0"/>
    <x v="3"/>
    <n v="1224"/>
    <n v="168"/>
    <n v="199"/>
    <n v="54232"/>
    <n v="52844"/>
    <n v="271"/>
    <x v="0"/>
    <x v="3"/>
    <x v="2"/>
    <n v="25"/>
    <x v="184"/>
  </r>
  <r>
    <x v="185"/>
    <x v="0"/>
    <d v="2025-06-15T00:00:00"/>
    <x v="0"/>
    <x v="1"/>
    <n v="2478"/>
    <n v="427"/>
    <n v="242"/>
    <n v="59272"/>
    <n v="37833"/>
    <n v="214"/>
    <x v="0"/>
    <x v="0"/>
    <x v="0"/>
    <n v="25"/>
    <x v="185"/>
  </r>
  <r>
    <x v="186"/>
    <x v="2"/>
    <d v="2025-06-17T00:00:00"/>
    <x v="2"/>
    <x v="1"/>
    <n v="4341"/>
    <n v="141"/>
    <n v="63"/>
    <n v="50081"/>
    <n v="27507"/>
    <n v="221"/>
    <x v="1"/>
    <x v="4"/>
    <x v="0"/>
    <n v="25"/>
    <x v="186"/>
  </r>
  <r>
    <x v="187"/>
    <x v="1"/>
    <d v="2024-06-21T00:00:00"/>
    <x v="1"/>
    <x v="7"/>
    <n v="4621"/>
    <n v="374"/>
    <n v="298"/>
    <n v="56979"/>
    <n v="24098"/>
    <n v="205"/>
    <x v="1"/>
    <x v="1"/>
    <x v="1"/>
    <n v="25"/>
    <x v="187"/>
  </r>
  <r>
    <x v="188"/>
    <x v="0"/>
    <d v="2024-06-26T00:00:00"/>
    <x v="0"/>
    <x v="0"/>
    <n v="3253"/>
    <n v="483"/>
    <n v="336"/>
    <n v="25397"/>
    <n v="51485"/>
    <n v="131"/>
    <x v="1"/>
    <x v="3"/>
    <x v="2"/>
    <n v="26"/>
    <x v="188"/>
  </r>
  <r>
    <x v="189"/>
    <x v="0"/>
    <d v="2025-06-27T00:00:00"/>
    <x v="2"/>
    <x v="3"/>
    <n v="1342"/>
    <n v="332"/>
    <n v="163"/>
    <n v="51712"/>
    <n v="57922"/>
    <n v="168"/>
    <x v="3"/>
    <x v="3"/>
    <x v="3"/>
    <n v="26"/>
    <x v="189"/>
  </r>
  <r>
    <x v="190"/>
    <x v="0"/>
    <d v="2025-06-24T00:00:00"/>
    <x v="2"/>
    <x v="2"/>
    <n v="4902"/>
    <n v="422"/>
    <n v="376"/>
    <n v="31674"/>
    <n v="53225"/>
    <n v="147"/>
    <x v="3"/>
    <x v="3"/>
    <x v="3"/>
    <n v="26"/>
    <x v="190"/>
  </r>
  <r>
    <x v="191"/>
    <x v="1"/>
    <d v="2024-06-25T00:00:00"/>
    <x v="0"/>
    <x v="6"/>
    <n v="2172"/>
    <n v="338"/>
    <n v="70"/>
    <n v="30515"/>
    <n v="57853"/>
    <n v="156"/>
    <x v="1"/>
    <x v="2"/>
    <x v="2"/>
    <n v="26"/>
    <x v="191"/>
  </r>
  <r>
    <x v="192"/>
    <x v="0"/>
    <d v="2024-06-29T00:00:00"/>
    <x v="0"/>
    <x v="6"/>
    <n v="2088"/>
    <n v="490"/>
    <n v="124"/>
    <n v="46544"/>
    <n v="69346"/>
    <n v="178"/>
    <x v="0"/>
    <x v="0"/>
    <x v="0"/>
    <n v="26"/>
    <x v="192"/>
  </r>
  <r>
    <x v="193"/>
    <x v="0"/>
    <d v="2024-07-05T00:00:00"/>
    <x v="0"/>
    <x v="6"/>
    <n v="3753"/>
    <n v="411"/>
    <n v="308"/>
    <n v="29138"/>
    <n v="27678"/>
    <n v="90"/>
    <x v="1"/>
    <x v="3"/>
    <x v="2"/>
    <n v="27"/>
    <x v="193"/>
  </r>
  <r>
    <x v="194"/>
    <x v="2"/>
    <d v="2025-07-01T00:00:00"/>
    <x v="2"/>
    <x v="1"/>
    <n v="3219"/>
    <n v="424"/>
    <n v="267"/>
    <n v="48879"/>
    <n v="37691"/>
    <n v="224"/>
    <x v="1"/>
    <x v="4"/>
    <x v="0"/>
    <n v="27"/>
    <x v="194"/>
  </r>
  <r>
    <x v="195"/>
    <x v="0"/>
    <d v="2024-07-02T00:00:00"/>
    <x v="0"/>
    <x v="4"/>
    <n v="3469"/>
    <n v="371"/>
    <n v="76"/>
    <n v="46493"/>
    <n v="26906"/>
    <n v="150"/>
    <x v="0"/>
    <x v="0"/>
    <x v="0"/>
    <n v="27"/>
    <x v="195"/>
  </r>
  <r>
    <x v="196"/>
    <x v="2"/>
    <d v="2025-06-30T00:00:00"/>
    <x v="0"/>
    <x v="3"/>
    <n v="2275"/>
    <n v="285"/>
    <n v="125"/>
    <n v="43970"/>
    <n v="74761"/>
    <n v="83"/>
    <x v="3"/>
    <x v="3"/>
    <x v="0"/>
    <n v="27"/>
    <x v="196"/>
  </r>
  <r>
    <x v="197"/>
    <x v="2"/>
    <d v="2024-07-07T00:00:00"/>
    <x v="0"/>
    <x v="0"/>
    <n v="1035"/>
    <n v="137"/>
    <n v="184"/>
    <n v="37302"/>
    <n v="68953"/>
    <n v="237"/>
    <x v="0"/>
    <x v="3"/>
    <x v="2"/>
    <n v="28"/>
    <x v="197"/>
  </r>
  <r>
    <x v="198"/>
    <x v="2"/>
    <d v="2024-07-13T00:00:00"/>
    <x v="2"/>
    <x v="2"/>
    <n v="2408"/>
    <n v="323"/>
    <n v="251"/>
    <n v="47599"/>
    <n v="35543"/>
    <n v="287"/>
    <x v="2"/>
    <x v="0"/>
    <x v="0"/>
    <n v="28"/>
    <x v="198"/>
  </r>
  <r>
    <x v="199"/>
    <x v="2"/>
    <d v="2024-07-11T00:00:00"/>
    <x v="2"/>
    <x v="2"/>
    <n v="4247"/>
    <n v="179"/>
    <n v="175"/>
    <n v="32991"/>
    <n v="70120"/>
    <n v="276"/>
    <x v="0"/>
    <x v="0"/>
    <x v="0"/>
    <n v="28"/>
    <x v="199"/>
  </r>
  <r>
    <x v="200"/>
    <x v="2"/>
    <d v="2024-07-08T00:00:00"/>
    <x v="2"/>
    <x v="4"/>
    <n v="2981"/>
    <n v="258"/>
    <n v="168"/>
    <n v="20677"/>
    <n v="68290"/>
    <n v="130"/>
    <x v="0"/>
    <x v="0"/>
    <x v="0"/>
    <n v="28"/>
    <x v="200"/>
  </r>
  <r>
    <x v="201"/>
    <x v="2"/>
    <d v="2024-07-07T00:00:00"/>
    <x v="0"/>
    <x v="3"/>
    <n v="1848"/>
    <n v="417"/>
    <n v="294"/>
    <n v="57819"/>
    <n v="19798"/>
    <n v="262"/>
    <x v="0"/>
    <x v="3"/>
    <x v="2"/>
    <n v="28"/>
    <x v="201"/>
  </r>
  <r>
    <x v="202"/>
    <x v="2"/>
    <d v="2024-07-08T00:00:00"/>
    <x v="2"/>
    <x v="5"/>
    <n v="2304"/>
    <n v="289"/>
    <n v="161"/>
    <n v="52645"/>
    <n v="66262"/>
    <n v="146"/>
    <x v="2"/>
    <x v="0"/>
    <x v="0"/>
    <n v="28"/>
    <x v="202"/>
  </r>
  <r>
    <x v="203"/>
    <x v="1"/>
    <d v="2024-07-14T00:00:00"/>
    <x v="0"/>
    <x v="6"/>
    <n v="3806"/>
    <n v="114"/>
    <n v="278"/>
    <n v="36148"/>
    <n v="24209"/>
    <n v="201"/>
    <x v="1"/>
    <x v="2"/>
    <x v="2"/>
    <n v="29"/>
    <x v="203"/>
  </r>
  <r>
    <x v="204"/>
    <x v="1"/>
    <d v="2024-07-17T00:00:00"/>
    <x v="0"/>
    <x v="4"/>
    <n v="3135"/>
    <n v="110"/>
    <n v="215"/>
    <n v="39192"/>
    <n v="24744"/>
    <n v="177"/>
    <x v="1"/>
    <x v="2"/>
    <x v="2"/>
    <n v="29"/>
    <x v="204"/>
  </r>
  <r>
    <x v="205"/>
    <x v="0"/>
    <d v="2024-07-14T00:00:00"/>
    <x v="0"/>
    <x v="5"/>
    <n v="2464"/>
    <n v="401"/>
    <n v="78"/>
    <n v="38665"/>
    <n v="73593"/>
    <n v="207"/>
    <x v="1"/>
    <x v="3"/>
    <x v="2"/>
    <n v="29"/>
    <x v="205"/>
  </r>
  <r>
    <x v="206"/>
    <x v="1"/>
    <d v="2024-07-20T00:00:00"/>
    <x v="1"/>
    <x v="7"/>
    <n v="4955"/>
    <n v="299"/>
    <n v="345"/>
    <n v="33644"/>
    <n v="43547"/>
    <n v="194"/>
    <x v="1"/>
    <x v="1"/>
    <x v="1"/>
    <n v="29"/>
    <x v="206"/>
  </r>
  <r>
    <x v="207"/>
    <x v="2"/>
    <d v="2024-07-16T00:00:00"/>
    <x v="0"/>
    <x v="4"/>
    <n v="1803"/>
    <n v="273"/>
    <n v="287"/>
    <n v="46176"/>
    <n v="25488"/>
    <n v="141"/>
    <x v="3"/>
    <x v="3"/>
    <x v="0"/>
    <n v="29"/>
    <x v="207"/>
  </r>
  <r>
    <x v="208"/>
    <x v="2"/>
    <d v="2024-07-19T00:00:00"/>
    <x v="2"/>
    <x v="3"/>
    <n v="3071"/>
    <n v="126"/>
    <n v="200"/>
    <n v="44013"/>
    <n v="44679"/>
    <n v="118"/>
    <x v="1"/>
    <x v="4"/>
    <x v="0"/>
    <n v="29"/>
    <x v="208"/>
  </r>
  <r>
    <x v="209"/>
    <x v="2"/>
    <d v="2024-07-22T00:00:00"/>
    <x v="2"/>
    <x v="5"/>
    <n v="3336"/>
    <n v="229"/>
    <n v="337"/>
    <n v="22117"/>
    <n v="26205"/>
    <n v="160"/>
    <x v="2"/>
    <x v="0"/>
    <x v="0"/>
    <n v="30"/>
    <x v="209"/>
  </r>
  <r>
    <x v="210"/>
    <x v="0"/>
    <d v="2024-07-21T00:00:00"/>
    <x v="0"/>
    <x v="9"/>
    <n v="3004"/>
    <n v="415"/>
    <n v="218"/>
    <n v="36090"/>
    <n v="37073"/>
    <n v="181"/>
    <x v="1"/>
    <x v="3"/>
    <x v="2"/>
    <n v="30"/>
    <x v="210"/>
  </r>
  <r>
    <x v="211"/>
    <x v="2"/>
    <d v="2024-07-23T00:00:00"/>
    <x v="0"/>
    <x v="4"/>
    <n v="3204"/>
    <n v="398"/>
    <n v="85"/>
    <n v="22020"/>
    <n v="58353"/>
    <n v="286"/>
    <x v="0"/>
    <x v="3"/>
    <x v="2"/>
    <n v="30"/>
    <x v="211"/>
  </r>
  <r>
    <x v="212"/>
    <x v="2"/>
    <d v="2024-08-03T00:00:00"/>
    <x v="0"/>
    <x v="6"/>
    <n v="4247"/>
    <n v="390"/>
    <n v="213"/>
    <n v="29785"/>
    <n v="57768"/>
    <n v="122"/>
    <x v="3"/>
    <x v="3"/>
    <x v="0"/>
    <n v="31"/>
    <x v="212"/>
  </r>
  <r>
    <x v="213"/>
    <x v="1"/>
    <d v="2024-08-10T00:00:00"/>
    <x v="0"/>
    <x v="8"/>
    <n v="1105"/>
    <n v="181"/>
    <n v="55"/>
    <n v="53581"/>
    <n v="74048"/>
    <n v="220"/>
    <x v="1"/>
    <x v="2"/>
    <x v="2"/>
    <n v="32"/>
    <x v="213"/>
  </r>
  <r>
    <x v="214"/>
    <x v="1"/>
    <d v="2024-08-09T00:00:00"/>
    <x v="1"/>
    <x v="8"/>
    <n v="3414"/>
    <n v="154"/>
    <n v="204"/>
    <n v="34146"/>
    <n v="44633"/>
    <n v="256"/>
    <x v="1"/>
    <x v="1"/>
    <x v="1"/>
    <n v="32"/>
    <x v="214"/>
  </r>
  <r>
    <x v="215"/>
    <x v="1"/>
    <d v="2024-08-08T00:00:00"/>
    <x v="0"/>
    <x v="8"/>
    <n v="1994"/>
    <n v="197"/>
    <n v="290"/>
    <n v="49500"/>
    <n v="23343"/>
    <n v="160"/>
    <x v="1"/>
    <x v="2"/>
    <x v="2"/>
    <n v="32"/>
    <x v="215"/>
  </r>
  <r>
    <x v="216"/>
    <x v="2"/>
    <d v="2024-08-09T00:00:00"/>
    <x v="2"/>
    <x v="8"/>
    <n v="4877"/>
    <n v="442"/>
    <n v="236"/>
    <n v="52673"/>
    <n v="48241"/>
    <n v="114"/>
    <x v="1"/>
    <x v="4"/>
    <x v="0"/>
    <n v="32"/>
    <x v="216"/>
  </r>
  <r>
    <x v="217"/>
    <x v="2"/>
    <d v="2024-08-12T00:00:00"/>
    <x v="2"/>
    <x v="3"/>
    <n v="2842"/>
    <n v="213"/>
    <n v="331"/>
    <n v="57660"/>
    <n v="68606"/>
    <n v="87"/>
    <x v="2"/>
    <x v="0"/>
    <x v="0"/>
    <n v="33"/>
    <x v="217"/>
  </r>
  <r>
    <x v="218"/>
    <x v="0"/>
    <d v="2024-08-12T00:00:00"/>
    <x v="2"/>
    <x v="9"/>
    <n v="2962"/>
    <n v="400"/>
    <n v="280"/>
    <n v="52508"/>
    <n v="58329"/>
    <n v="219"/>
    <x v="3"/>
    <x v="3"/>
    <x v="3"/>
    <n v="33"/>
    <x v="218"/>
  </r>
  <r>
    <x v="219"/>
    <x v="2"/>
    <d v="2024-08-13T00:00:00"/>
    <x v="0"/>
    <x v="1"/>
    <n v="3418"/>
    <n v="107"/>
    <n v="221"/>
    <n v="23927"/>
    <n v="26182"/>
    <n v="155"/>
    <x v="0"/>
    <x v="3"/>
    <x v="2"/>
    <n v="33"/>
    <x v="219"/>
  </r>
  <r>
    <x v="220"/>
    <x v="0"/>
    <d v="2024-08-18T00:00:00"/>
    <x v="0"/>
    <x v="1"/>
    <n v="2965"/>
    <n v="328"/>
    <n v="171"/>
    <n v="57685"/>
    <n v="67536"/>
    <n v="264"/>
    <x v="0"/>
    <x v="0"/>
    <x v="0"/>
    <n v="34"/>
    <x v="220"/>
  </r>
  <r>
    <x v="221"/>
    <x v="2"/>
    <d v="2024-08-21T00:00:00"/>
    <x v="2"/>
    <x v="1"/>
    <n v="3989"/>
    <n v="476"/>
    <n v="128"/>
    <n v="57569"/>
    <n v="40193"/>
    <n v="222"/>
    <x v="1"/>
    <x v="4"/>
    <x v="0"/>
    <n v="34"/>
    <x v="221"/>
  </r>
  <r>
    <x v="222"/>
    <x v="2"/>
    <d v="2024-08-29T00:00:00"/>
    <x v="2"/>
    <x v="2"/>
    <n v="4276"/>
    <n v="227"/>
    <n v="223"/>
    <n v="43443"/>
    <n v="41005"/>
    <n v="191"/>
    <x v="1"/>
    <x v="4"/>
    <x v="0"/>
    <n v="35"/>
    <x v="222"/>
  </r>
  <r>
    <x v="223"/>
    <x v="0"/>
    <d v="2024-08-26T00:00:00"/>
    <x v="0"/>
    <x v="6"/>
    <n v="2102"/>
    <n v="181"/>
    <n v="306"/>
    <n v="43650"/>
    <n v="50079"/>
    <n v="182"/>
    <x v="1"/>
    <x v="3"/>
    <x v="2"/>
    <n v="35"/>
    <x v="223"/>
  </r>
  <r>
    <x v="224"/>
    <x v="2"/>
    <d v="2024-08-27T00:00:00"/>
    <x v="2"/>
    <x v="0"/>
    <n v="1856"/>
    <n v="357"/>
    <n v="348"/>
    <n v="29428"/>
    <n v="70206"/>
    <n v="236"/>
    <x v="2"/>
    <x v="0"/>
    <x v="0"/>
    <n v="35"/>
    <x v="224"/>
  </r>
  <r>
    <x v="225"/>
    <x v="1"/>
    <d v="2024-08-29T00:00:00"/>
    <x v="0"/>
    <x v="5"/>
    <n v="4774"/>
    <n v="389"/>
    <n v="358"/>
    <n v="52346"/>
    <n v="30518"/>
    <n v="277"/>
    <x v="1"/>
    <x v="2"/>
    <x v="2"/>
    <n v="35"/>
    <x v="225"/>
  </r>
  <r>
    <x v="226"/>
    <x v="0"/>
    <d v="2024-08-27T00:00:00"/>
    <x v="0"/>
    <x v="7"/>
    <n v="4197"/>
    <n v="359"/>
    <n v="280"/>
    <n v="56048"/>
    <n v="70930"/>
    <n v="295"/>
    <x v="1"/>
    <x v="3"/>
    <x v="2"/>
    <n v="35"/>
    <x v="226"/>
  </r>
  <r>
    <x v="227"/>
    <x v="0"/>
    <d v="2024-09-06T00:00:00"/>
    <x v="0"/>
    <x v="0"/>
    <n v="1452"/>
    <n v="281"/>
    <n v="326"/>
    <n v="51556"/>
    <n v="62599"/>
    <n v="290"/>
    <x v="1"/>
    <x v="3"/>
    <x v="2"/>
    <n v="36"/>
    <x v="227"/>
  </r>
  <r>
    <x v="228"/>
    <x v="2"/>
    <d v="2024-09-04T00:00:00"/>
    <x v="2"/>
    <x v="0"/>
    <n v="2613"/>
    <n v="455"/>
    <n v="228"/>
    <n v="21645"/>
    <n v="61334"/>
    <n v="261"/>
    <x v="1"/>
    <x v="4"/>
    <x v="0"/>
    <n v="36"/>
    <x v="228"/>
  </r>
  <r>
    <x v="229"/>
    <x v="1"/>
    <d v="2024-09-07T00:00:00"/>
    <x v="1"/>
    <x v="7"/>
    <n v="3882"/>
    <n v="342"/>
    <n v="374"/>
    <n v="41991"/>
    <n v="48554"/>
    <n v="118"/>
    <x v="1"/>
    <x v="1"/>
    <x v="1"/>
    <n v="36"/>
    <x v="229"/>
  </r>
  <r>
    <x v="230"/>
    <x v="1"/>
    <d v="2024-09-03T00:00:00"/>
    <x v="1"/>
    <x v="3"/>
    <n v="1437"/>
    <n v="494"/>
    <n v="129"/>
    <n v="53048"/>
    <n v="44090"/>
    <n v="230"/>
    <x v="1"/>
    <x v="1"/>
    <x v="1"/>
    <n v="36"/>
    <x v="230"/>
  </r>
  <r>
    <x v="231"/>
    <x v="0"/>
    <d v="2024-09-01T00:00:00"/>
    <x v="2"/>
    <x v="5"/>
    <n v="2335"/>
    <n v="150"/>
    <n v="75"/>
    <n v="26114"/>
    <n v="57549"/>
    <n v="135"/>
    <x v="3"/>
    <x v="3"/>
    <x v="3"/>
    <n v="36"/>
    <x v="231"/>
  </r>
  <r>
    <x v="232"/>
    <x v="1"/>
    <d v="2024-09-07T00:00:00"/>
    <x v="0"/>
    <x v="6"/>
    <n v="2101"/>
    <n v="411"/>
    <n v="190"/>
    <n v="41791"/>
    <n v="57090"/>
    <n v="172"/>
    <x v="1"/>
    <x v="2"/>
    <x v="2"/>
    <n v="36"/>
    <x v="232"/>
  </r>
  <r>
    <x v="233"/>
    <x v="0"/>
    <d v="2024-09-10T00:00:00"/>
    <x v="2"/>
    <x v="0"/>
    <n v="1230"/>
    <n v="309"/>
    <n v="207"/>
    <n v="44629"/>
    <n v="40699"/>
    <n v="195"/>
    <x v="3"/>
    <x v="3"/>
    <x v="3"/>
    <n v="37"/>
    <x v="233"/>
  </r>
  <r>
    <x v="234"/>
    <x v="0"/>
    <d v="2024-09-09T00:00:00"/>
    <x v="0"/>
    <x v="0"/>
    <n v="1616"/>
    <n v="360"/>
    <n v="180"/>
    <n v="54342"/>
    <n v="18796"/>
    <n v="282"/>
    <x v="0"/>
    <x v="0"/>
    <x v="0"/>
    <n v="37"/>
    <x v="234"/>
  </r>
  <r>
    <x v="235"/>
    <x v="2"/>
    <d v="2024-09-12T00:00:00"/>
    <x v="2"/>
    <x v="5"/>
    <n v="1839"/>
    <n v="223"/>
    <n v="171"/>
    <n v="35459"/>
    <n v="69988"/>
    <n v="114"/>
    <x v="2"/>
    <x v="0"/>
    <x v="0"/>
    <n v="37"/>
    <x v="235"/>
  </r>
  <r>
    <x v="236"/>
    <x v="2"/>
    <d v="2024-09-18T00:00:00"/>
    <x v="0"/>
    <x v="9"/>
    <n v="2878"/>
    <n v="265"/>
    <n v="91"/>
    <n v="52090"/>
    <n v="28924"/>
    <n v="133"/>
    <x v="3"/>
    <x v="3"/>
    <x v="0"/>
    <n v="38"/>
    <x v="236"/>
  </r>
  <r>
    <x v="237"/>
    <x v="2"/>
    <d v="2024-09-16T00:00:00"/>
    <x v="2"/>
    <x v="3"/>
    <n v="4422"/>
    <n v="434"/>
    <n v="156"/>
    <n v="56165"/>
    <n v="52431"/>
    <n v="173"/>
    <x v="1"/>
    <x v="4"/>
    <x v="0"/>
    <n v="38"/>
    <x v="237"/>
  </r>
  <r>
    <x v="238"/>
    <x v="2"/>
    <d v="2024-09-15T00:00:00"/>
    <x v="0"/>
    <x v="2"/>
    <n v="2145"/>
    <n v="340"/>
    <n v="85"/>
    <n v="53323"/>
    <n v="49938"/>
    <n v="104"/>
    <x v="3"/>
    <x v="3"/>
    <x v="0"/>
    <n v="38"/>
    <x v="238"/>
  </r>
  <r>
    <x v="239"/>
    <x v="2"/>
    <d v="2024-09-16T00:00:00"/>
    <x v="2"/>
    <x v="6"/>
    <n v="3300"/>
    <n v="354"/>
    <n v="397"/>
    <n v="56773"/>
    <n v="72110"/>
    <n v="163"/>
    <x v="1"/>
    <x v="4"/>
    <x v="0"/>
    <n v="38"/>
    <x v="239"/>
  </r>
  <r>
    <x v="240"/>
    <x v="2"/>
    <d v="2024-09-28T00:00:00"/>
    <x v="0"/>
    <x v="3"/>
    <n v="4006"/>
    <n v="420"/>
    <n v="194"/>
    <n v="49964"/>
    <n v="20685"/>
    <n v="148"/>
    <x v="3"/>
    <x v="3"/>
    <x v="0"/>
    <n v="39"/>
    <x v="240"/>
  </r>
  <r>
    <x v="241"/>
    <x v="0"/>
    <d v="2024-09-27T00:00:00"/>
    <x v="0"/>
    <x v="9"/>
    <n v="3118"/>
    <n v="116"/>
    <n v="195"/>
    <n v="37100"/>
    <n v="62629"/>
    <n v="272"/>
    <x v="1"/>
    <x v="3"/>
    <x v="2"/>
    <n v="39"/>
    <x v="241"/>
  </r>
  <r>
    <x v="242"/>
    <x v="2"/>
    <d v="2024-09-28T00:00:00"/>
    <x v="2"/>
    <x v="5"/>
    <n v="4471"/>
    <n v="317"/>
    <n v="249"/>
    <n v="44862"/>
    <n v="33365"/>
    <n v="184"/>
    <x v="1"/>
    <x v="4"/>
    <x v="0"/>
    <n v="39"/>
    <x v="242"/>
  </r>
  <r>
    <x v="243"/>
    <x v="2"/>
    <d v="2024-10-04T00:00:00"/>
    <x v="2"/>
    <x v="1"/>
    <n v="2870"/>
    <n v="380"/>
    <n v="393"/>
    <n v="37621"/>
    <n v="71794"/>
    <n v="127"/>
    <x v="2"/>
    <x v="0"/>
    <x v="0"/>
    <n v="40"/>
    <x v="243"/>
  </r>
  <r>
    <x v="244"/>
    <x v="1"/>
    <d v="2024-10-01T00:00:00"/>
    <x v="1"/>
    <x v="1"/>
    <n v="3543"/>
    <n v="334"/>
    <n v="218"/>
    <n v="58007"/>
    <n v="24792"/>
    <n v="273"/>
    <x v="1"/>
    <x v="1"/>
    <x v="1"/>
    <n v="40"/>
    <x v="244"/>
  </r>
  <r>
    <x v="245"/>
    <x v="2"/>
    <d v="2024-10-08T00:00:00"/>
    <x v="0"/>
    <x v="8"/>
    <n v="2460"/>
    <n v="409"/>
    <n v="253"/>
    <n v="36702"/>
    <n v="46122"/>
    <n v="264"/>
    <x v="3"/>
    <x v="3"/>
    <x v="0"/>
    <n v="41"/>
    <x v="245"/>
  </r>
  <r>
    <x v="246"/>
    <x v="1"/>
    <d v="2024-10-10T00:00:00"/>
    <x v="1"/>
    <x v="8"/>
    <n v="4013"/>
    <n v="320"/>
    <n v="92"/>
    <n v="54605"/>
    <n v="60169"/>
    <n v="232"/>
    <x v="1"/>
    <x v="1"/>
    <x v="1"/>
    <n v="41"/>
    <x v="246"/>
  </r>
  <r>
    <x v="247"/>
    <x v="2"/>
    <d v="2024-10-09T00:00:00"/>
    <x v="2"/>
    <x v="9"/>
    <n v="4929"/>
    <n v="182"/>
    <n v="95"/>
    <n v="32181"/>
    <n v="31084"/>
    <n v="289"/>
    <x v="1"/>
    <x v="4"/>
    <x v="0"/>
    <n v="41"/>
    <x v="247"/>
  </r>
  <r>
    <x v="248"/>
    <x v="0"/>
    <d v="2024-10-11T00:00:00"/>
    <x v="0"/>
    <x v="8"/>
    <n v="1360"/>
    <n v="249"/>
    <n v="52"/>
    <n v="20368"/>
    <n v="42152"/>
    <n v="193"/>
    <x v="1"/>
    <x v="3"/>
    <x v="2"/>
    <n v="41"/>
    <x v="248"/>
  </r>
  <r>
    <x v="249"/>
    <x v="2"/>
    <d v="2024-10-12T00:00:00"/>
    <x v="0"/>
    <x v="2"/>
    <n v="3169"/>
    <n v="386"/>
    <n v="175"/>
    <n v="45012"/>
    <n v="38508"/>
    <n v="218"/>
    <x v="3"/>
    <x v="3"/>
    <x v="0"/>
    <n v="41"/>
    <x v="249"/>
  </r>
  <r>
    <x v="250"/>
    <x v="0"/>
    <d v="2024-10-06T00:00:00"/>
    <x v="0"/>
    <x v="4"/>
    <n v="2080"/>
    <n v="389"/>
    <n v="92"/>
    <n v="30971"/>
    <n v="25347"/>
    <n v="111"/>
    <x v="1"/>
    <x v="3"/>
    <x v="2"/>
    <n v="41"/>
    <x v="250"/>
  </r>
  <r>
    <x v="251"/>
    <x v="2"/>
    <d v="2024-10-09T00:00:00"/>
    <x v="0"/>
    <x v="5"/>
    <n v="2659"/>
    <n v="167"/>
    <n v="73"/>
    <n v="23090"/>
    <n v="25872"/>
    <n v="293"/>
    <x v="0"/>
    <x v="3"/>
    <x v="2"/>
    <n v="41"/>
    <x v="251"/>
  </r>
  <r>
    <x v="252"/>
    <x v="0"/>
    <d v="2024-10-08T00:00:00"/>
    <x v="0"/>
    <x v="1"/>
    <n v="2110"/>
    <n v="384"/>
    <n v="236"/>
    <n v="49965"/>
    <n v="61555"/>
    <n v="195"/>
    <x v="1"/>
    <x v="3"/>
    <x v="2"/>
    <n v="41"/>
    <x v="252"/>
  </r>
  <r>
    <x v="253"/>
    <x v="2"/>
    <d v="2024-10-18T00:00:00"/>
    <x v="0"/>
    <x v="0"/>
    <n v="2607"/>
    <n v="379"/>
    <n v="180"/>
    <n v="28712"/>
    <n v="61620"/>
    <n v="174"/>
    <x v="0"/>
    <x v="3"/>
    <x v="2"/>
    <n v="42"/>
    <x v="253"/>
  </r>
  <r>
    <x v="254"/>
    <x v="2"/>
    <d v="2024-10-15T00:00:00"/>
    <x v="0"/>
    <x v="5"/>
    <n v="1984"/>
    <n v="481"/>
    <n v="356"/>
    <n v="40681"/>
    <n v="63111"/>
    <n v="258"/>
    <x v="3"/>
    <x v="3"/>
    <x v="0"/>
    <n v="42"/>
    <x v="254"/>
  </r>
  <r>
    <x v="255"/>
    <x v="2"/>
    <d v="2024-10-14T00:00:00"/>
    <x v="2"/>
    <x v="1"/>
    <n v="4303"/>
    <n v="306"/>
    <n v="302"/>
    <n v="39575"/>
    <n v="33762"/>
    <n v="265"/>
    <x v="1"/>
    <x v="4"/>
    <x v="0"/>
    <n v="42"/>
    <x v="255"/>
  </r>
  <r>
    <x v="256"/>
    <x v="2"/>
    <d v="2024-10-26T00:00:00"/>
    <x v="0"/>
    <x v="9"/>
    <n v="3036"/>
    <n v="293"/>
    <n v="115"/>
    <n v="23776"/>
    <n v="46386"/>
    <n v="282"/>
    <x v="3"/>
    <x v="3"/>
    <x v="0"/>
    <n v="43"/>
    <x v="256"/>
  </r>
  <r>
    <x v="257"/>
    <x v="2"/>
    <d v="2024-10-20T00:00:00"/>
    <x v="0"/>
    <x v="8"/>
    <n v="2752"/>
    <n v="309"/>
    <n v="91"/>
    <n v="39038"/>
    <n v="28095"/>
    <n v="277"/>
    <x v="3"/>
    <x v="3"/>
    <x v="0"/>
    <n v="43"/>
    <x v="257"/>
  </r>
  <r>
    <x v="258"/>
    <x v="1"/>
    <d v="2024-10-26T00:00:00"/>
    <x v="0"/>
    <x v="0"/>
    <n v="4676"/>
    <n v="211"/>
    <n v="55"/>
    <n v="45917"/>
    <n v="73503"/>
    <n v="248"/>
    <x v="1"/>
    <x v="2"/>
    <x v="2"/>
    <n v="43"/>
    <x v="258"/>
  </r>
  <r>
    <x v="259"/>
    <x v="0"/>
    <d v="2024-10-24T00:00:00"/>
    <x v="2"/>
    <x v="4"/>
    <n v="1914"/>
    <n v="255"/>
    <n v="156"/>
    <n v="27660"/>
    <n v="47776"/>
    <n v="111"/>
    <x v="3"/>
    <x v="3"/>
    <x v="3"/>
    <n v="43"/>
    <x v="259"/>
  </r>
  <r>
    <x v="260"/>
    <x v="0"/>
    <d v="2024-11-07T00:00:00"/>
    <x v="2"/>
    <x v="5"/>
    <n v="1678"/>
    <n v="423"/>
    <n v="323"/>
    <n v="55668"/>
    <n v="37945"/>
    <n v="230"/>
    <x v="3"/>
    <x v="3"/>
    <x v="3"/>
    <n v="45"/>
    <x v="260"/>
  </r>
  <r>
    <x v="261"/>
    <x v="2"/>
    <d v="2024-11-03T00:00:00"/>
    <x v="2"/>
    <x v="5"/>
    <n v="1959"/>
    <n v="316"/>
    <n v="82"/>
    <n v="54036"/>
    <n v="69015"/>
    <n v="182"/>
    <x v="2"/>
    <x v="0"/>
    <x v="0"/>
    <n v="45"/>
    <x v="261"/>
  </r>
  <r>
    <x v="262"/>
    <x v="2"/>
    <d v="2024-11-06T00:00:00"/>
    <x v="0"/>
    <x v="8"/>
    <n v="2956"/>
    <n v="381"/>
    <n v="345"/>
    <n v="33347"/>
    <n v="22558"/>
    <n v="173"/>
    <x v="3"/>
    <x v="3"/>
    <x v="0"/>
    <n v="45"/>
    <x v="262"/>
  </r>
  <r>
    <x v="263"/>
    <x v="1"/>
    <d v="2024-11-08T00:00:00"/>
    <x v="0"/>
    <x v="4"/>
    <n v="2471"/>
    <n v="166"/>
    <n v="320"/>
    <n v="48254"/>
    <n v="46900"/>
    <n v="111"/>
    <x v="1"/>
    <x v="2"/>
    <x v="2"/>
    <n v="45"/>
    <x v="263"/>
  </r>
  <r>
    <x v="264"/>
    <x v="2"/>
    <d v="2024-11-07T00:00:00"/>
    <x v="0"/>
    <x v="1"/>
    <n v="2229"/>
    <n v="395"/>
    <n v="328"/>
    <n v="56921"/>
    <n v="37176"/>
    <n v="126"/>
    <x v="0"/>
    <x v="3"/>
    <x v="2"/>
    <n v="45"/>
    <x v="264"/>
  </r>
  <r>
    <x v="265"/>
    <x v="2"/>
    <d v="2024-11-03T00:00:00"/>
    <x v="2"/>
    <x v="1"/>
    <n v="3061"/>
    <n v="320"/>
    <n v="76"/>
    <n v="26640"/>
    <n v="24306"/>
    <n v="112"/>
    <x v="2"/>
    <x v="0"/>
    <x v="0"/>
    <n v="45"/>
    <x v="265"/>
  </r>
  <r>
    <x v="266"/>
    <x v="2"/>
    <d v="2024-11-13T00:00:00"/>
    <x v="2"/>
    <x v="4"/>
    <n v="4628"/>
    <n v="257"/>
    <n v="397"/>
    <n v="36686"/>
    <n v="54683"/>
    <n v="98"/>
    <x v="0"/>
    <x v="0"/>
    <x v="0"/>
    <n v="46"/>
    <x v="266"/>
  </r>
  <r>
    <x v="267"/>
    <x v="0"/>
    <d v="2024-11-14T00:00:00"/>
    <x v="0"/>
    <x v="7"/>
    <n v="2422"/>
    <n v="318"/>
    <n v="118"/>
    <n v="25386"/>
    <n v="20873"/>
    <n v="100"/>
    <x v="0"/>
    <x v="0"/>
    <x v="0"/>
    <n v="46"/>
    <x v="267"/>
  </r>
  <r>
    <x v="268"/>
    <x v="2"/>
    <d v="2024-11-10T00:00:00"/>
    <x v="0"/>
    <x v="1"/>
    <n v="4823"/>
    <n v="489"/>
    <n v="302"/>
    <n v="32470"/>
    <n v="31861"/>
    <n v="178"/>
    <x v="0"/>
    <x v="3"/>
    <x v="2"/>
    <n v="46"/>
    <x v="268"/>
  </r>
  <r>
    <x v="269"/>
    <x v="2"/>
    <d v="2024-11-16T00:00:00"/>
    <x v="0"/>
    <x v="8"/>
    <n v="2972"/>
    <n v="263"/>
    <n v="308"/>
    <n v="51740"/>
    <n v="28214"/>
    <n v="190"/>
    <x v="0"/>
    <x v="3"/>
    <x v="2"/>
    <n v="46"/>
    <x v="269"/>
  </r>
  <r>
    <x v="270"/>
    <x v="2"/>
    <d v="2024-11-13T00:00:00"/>
    <x v="2"/>
    <x v="0"/>
    <n v="1409"/>
    <n v="466"/>
    <n v="105"/>
    <n v="58923"/>
    <n v="38753"/>
    <n v="265"/>
    <x v="1"/>
    <x v="4"/>
    <x v="0"/>
    <n v="46"/>
    <x v="270"/>
  </r>
  <r>
    <x v="271"/>
    <x v="2"/>
    <d v="2024-11-16T00:00:00"/>
    <x v="0"/>
    <x v="1"/>
    <n v="2901"/>
    <n v="108"/>
    <n v="86"/>
    <n v="51777"/>
    <n v="23773"/>
    <n v="160"/>
    <x v="0"/>
    <x v="3"/>
    <x v="2"/>
    <n v="46"/>
    <x v="271"/>
  </r>
  <r>
    <x v="272"/>
    <x v="0"/>
    <d v="2024-11-21T00:00:00"/>
    <x v="0"/>
    <x v="7"/>
    <n v="4581"/>
    <n v="181"/>
    <n v="112"/>
    <n v="35221"/>
    <n v="28797"/>
    <n v="164"/>
    <x v="0"/>
    <x v="0"/>
    <x v="0"/>
    <n v="47"/>
    <x v="272"/>
  </r>
  <r>
    <x v="273"/>
    <x v="2"/>
    <d v="2024-11-19T00:00:00"/>
    <x v="0"/>
    <x v="4"/>
    <n v="3728"/>
    <n v="271"/>
    <n v="275"/>
    <n v="22827"/>
    <n v="37034"/>
    <n v="199"/>
    <x v="3"/>
    <x v="3"/>
    <x v="0"/>
    <n v="47"/>
    <x v="273"/>
  </r>
  <r>
    <x v="274"/>
    <x v="0"/>
    <d v="2024-11-19T00:00:00"/>
    <x v="0"/>
    <x v="3"/>
    <n v="2525"/>
    <n v="272"/>
    <n v="294"/>
    <n v="51875"/>
    <n v="24732"/>
    <n v="92"/>
    <x v="1"/>
    <x v="3"/>
    <x v="2"/>
    <n v="47"/>
    <x v="274"/>
  </r>
  <r>
    <x v="275"/>
    <x v="2"/>
    <d v="2024-11-23T00:00:00"/>
    <x v="0"/>
    <x v="0"/>
    <n v="4318"/>
    <n v="371"/>
    <n v="329"/>
    <n v="32347"/>
    <n v="68956"/>
    <n v="259"/>
    <x v="0"/>
    <x v="3"/>
    <x v="2"/>
    <n v="47"/>
    <x v="275"/>
  </r>
  <r>
    <x v="276"/>
    <x v="2"/>
    <d v="2024-11-19T00:00:00"/>
    <x v="0"/>
    <x v="1"/>
    <n v="2387"/>
    <n v="353"/>
    <n v="78"/>
    <n v="39745"/>
    <n v="69226"/>
    <n v="208"/>
    <x v="0"/>
    <x v="3"/>
    <x v="2"/>
    <n v="47"/>
    <x v="276"/>
  </r>
  <r>
    <x v="277"/>
    <x v="0"/>
    <d v="2024-11-29T00:00:00"/>
    <x v="0"/>
    <x v="3"/>
    <n v="2824"/>
    <n v="425"/>
    <n v="274"/>
    <n v="31004"/>
    <n v="53488"/>
    <n v="268"/>
    <x v="0"/>
    <x v="0"/>
    <x v="0"/>
    <n v="48"/>
    <x v="277"/>
  </r>
  <r>
    <x v="278"/>
    <x v="0"/>
    <d v="2024-11-25T00:00:00"/>
    <x v="0"/>
    <x v="8"/>
    <n v="1341"/>
    <n v="472"/>
    <n v="238"/>
    <n v="51386"/>
    <n v="51706"/>
    <n v="133"/>
    <x v="1"/>
    <x v="3"/>
    <x v="2"/>
    <n v="48"/>
    <x v="278"/>
  </r>
  <r>
    <x v="279"/>
    <x v="2"/>
    <d v="2024-11-28T00:00:00"/>
    <x v="2"/>
    <x v="0"/>
    <n v="1131"/>
    <n v="100"/>
    <n v="116"/>
    <n v="48437"/>
    <n v="72704"/>
    <n v="236"/>
    <x v="1"/>
    <x v="4"/>
    <x v="0"/>
    <n v="48"/>
    <x v="279"/>
  </r>
  <r>
    <x v="280"/>
    <x v="2"/>
    <d v="2024-11-30T00:00:00"/>
    <x v="2"/>
    <x v="1"/>
    <n v="4963"/>
    <n v="255"/>
    <n v="193"/>
    <n v="44386"/>
    <n v="28415"/>
    <n v="174"/>
    <x v="2"/>
    <x v="0"/>
    <x v="0"/>
    <n v="48"/>
    <x v="280"/>
  </r>
  <r>
    <x v="281"/>
    <x v="2"/>
    <d v="2024-12-03T00:00:00"/>
    <x v="2"/>
    <x v="0"/>
    <n v="3092"/>
    <n v="177"/>
    <n v="81"/>
    <n v="47533"/>
    <n v="29220"/>
    <n v="121"/>
    <x v="2"/>
    <x v="0"/>
    <x v="0"/>
    <n v="49"/>
    <x v="281"/>
  </r>
  <r>
    <x v="282"/>
    <x v="0"/>
    <d v="2024-12-03T00:00:00"/>
    <x v="0"/>
    <x v="5"/>
    <n v="3173"/>
    <n v="229"/>
    <n v="197"/>
    <n v="29604"/>
    <n v="21809"/>
    <n v="272"/>
    <x v="0"/>
    <x v="0"/>
    <x v="0"/>
    <n v="49"/>
    <x v="282"/>
  </r>
  <r>
    <x v="283"/>
    <x v="2"/>
    <d v="2024-12-04T00:00:00"/>
    <x v="0"/>
    <x v="5"/>
    <n v="2357"/>
    <n v="274"/>
    <n v="172"/>
    <n v="21566"/>
    <n v="66829"/>
    <n v="284"/>
    <x v="3"/>
    <x v="3"/>
    <x v="0"/>
    <n v="49"/>
    <x v="283"/>
  </r>
  <r>
    <x v="284"/>
    <x v="0"/>
    <d v="2024-12-04T00:00:00"/>
    <x v="0"/>
    <x v="5"/>
    <n v="2601"/>
    <n v="336"/>
    <n v="260"/>
    <n v="32368"/>
    <n v="49028"/>
    <n v="120"/>
    <x v="0"/>
    <x v="0"/>
    <x v="0"/>
    <n v="49"/>
    <x v="284"/>
  </r>
  <r>
    <x v="285"/>
    <x v="0"/>
    <d v="2024-12-02T00:00:00"/>
    <x v="0"/>
    <x v="4"/>
    <n v="3194"/>
    <n v="292"/>
    <n v="245"/>
    <n v="56371"/>
    <n v="65597"/>
    <n v="163"/>
    <x v="0"/>
    <x v="0"/>
    <x v="0"/>
    <n v="49"/>
    <x v="285"/>
  </r>
  <r>
    <x v="286"/>
    <x v="0"/>
    <d v="2024-12-14T00:00:00"/>
    <x v="2"/>
    <x v="8"/>
    <n v="3812"/>
    <n v="321"/>
    <n v="289"/>
    <n v="59838"/>
    <n v="36337"/>
    <n v="161"/>
    <x v="3"/>
    <x v="3"/>
    <x v="3"/>
    <n v="50"/>
    <x v="286"/>
  </r>
  <r>
    <x v="287"/>
    <x v="1"/>
    <d v="2024-12-08T00:00:00"/>
    <x v="0"/>
    <x v="4"/>
    <n v="1424"/>
    <n v="396"/>
    <n v="312"/>
    <n v="59517"/>
    <n v="46102"/>
    <n v="239"/>
    <x v="1"/>
    <x v="2"/>
    <x v="2"/>
    <n v="50"/>
    <x v="287"/>
  </r>
  <r>
    <x v="288"/>
    <x v="1"/>
    <d v="2024-12-10T00:00:00"/>
    <x v="0"/>
    <x v="3"/>
    <n v="2569"/>
    <n v="140"/>
    <n v="375"/>
    <n v="38372"/>
    <n v="22102"/>
    <n v="255"/>
    <x v="1"/>
    <x v="2"/>
    <x v="2"/>
    <n v="50"/>
    <x v="288"/>
  </r>
  <r>
    <x v="289"/>
    <x v="2"/>
    <d v="2024-12-10T00:00:00"/>
    <x v="0"/>
    <x v="8"/>
    <n v="4673"/>
    <n v="270"/>
    <n v="93"/>
    <n v="45260"/>
    <n v="57513"/>
    <n v="103"/>
    <x v="3"/>
    <x v="3"/>
    <x v="0"/>
    <n v="50"/>
    <x v="289"/>
  </r>
  <r>
    <x v="290"/>
    <x v="2"/>
    <d v="2024-12-13T00:00:00"/>
    <x v="2"/>
    <x v="0"/>
    <n v="4984"/>
    <n v="300"/>
    <n v="338"/>
    <n v="32900"/>
    <n v="31691"/>
    <n v="160"/>
    <x v="2"/>
    <x v="0"/>
    <x v="0"/>
    <n v="50"/>
    <x v="290"/>
  </r>
  <r>
    <x v="291"/>
    <x v="2"/>
    <d v="2024-12-10T00:00:00"/>
    <x v="2"/>
    <x v="5"/>
    <n v="2267"/>
    <n v="230"/>
    <n v="243"/>
    <n v="27904"/>
    <n v="69771"/>
    <n v="255"/>
    <x v="1"/>
    <x v="4"/>
    <x v="0"/>
    <n v="50"/>
    <x v="291"/>
  </r>
  <r>
    <x v="292"/>
    <x v="2"/>
    <d v="2024-12-19T00:00:00"/>
    <x v="2"/>
    <x v="2"/>
    <n v="4674"/>
    <n v="409"/>
    <n v="327"/>
    <n v="20756"/>
    <n v="63599"/>
    <n v="212"/>
    <x v="0"/>
    <x v="0"/>
    <x v="0"/>
    <n v="51"/>
    <x v="292"/>
  </r>
  <r>
    <x v="293"/>
    <x v="2"/>
    <d v="2024-12-17T00:00:00"/>
    <x v="2"/>
    <x v="7"/>
    <n v="1316"/>
    <n v="472"/>
    <n v="286"/>
    <n v="44692"/>
    <n v="53343"/>
    <n v="227"/>
    <x v="1"/>
    <x v="4"/>
    <x v="0"/>
    <n v="51"/>
    <x v="293"/>
  </r>
  <r>
    <x v="294"/>
    <x v="0"/>
    <d v="2024-12-21T00:00:00"/>
    <x v="2"/>
    <x v="0"/>
    <n v="4563"/>
    <n v="398"/>
    <n v="163"/>
    <n v="43679"/>
    <n v="48760"/>
    <n v="92"/>
    <x v="3"/>
    <x v="3"/>
    <x v="3"/>
    <n v="51"/>
    <x v="294"/>
  </r>
  <r>
    <x v="295"/>
    <x v="0"/>
    <d v="2024-12-20T00:00:00"/>
    <x v="0"/>
    <x v="9"/>
    <n v="2519"/>
    <n v="202"/>
    <n v="239"/>
    <n v="36245"/>
    <n v="48606"/>
    <n v="145"/>
    <x v="1"/>
    <x v="3"/>
    <x v="2"/>
    <n v="51"/>
    <x v="295"/>
  </r>
  <r>
    <x v="296"/>
    <x v="0"/>
    <d v="2024-12-27T00:00:00"/>
    <x v="0"/>
    <x v="8"/>
    <n v="1436"/>
    <n v="219"/>
    <n v="229"/>
    <n v="58488"/>
    <n v="24314"/>
    <n v="147"/>
    <x v="1"/>
    <x v="3"/>
    <x v="2"/>
    <n v="52"/>
    <x v="296"/>
  </r>
  <r>
    <x v="297"/>
    <x v="2"/>
    <d v="2024-12-29T00:00:00"/>
    <x v="2"/>
    <x v="0"/>
    <n v="4049"/>
    <n v="377"/>
    <n v="94"/>
    <n v="48182"/>
    <n v="42875"/>
    <n v="172"/>
    <x v="2"/>
    <x v="0"/>
    <x v="0"/>
    <n v="53"/>
    <x v="297"/>
  </r>
  <r>
    <x v="298"/>
    <x v="2"/>
    <d v="2024-12-30T00:00:00"/>
    <x v="0"/>
    <x v="2"/>
    <n v="4214"/>
    <n v="286"/>
    <n v="127"/>
    <n v="47293"/>
    <n v="27184"/>
    <n v="232"/>
    <x v="3"/>
    <x v="3"/>
    <x v="0"/>
    <n v="53"/>
    <x v="298"/>
  </r>
</pivotCacheRecords>
</file>

<file path=xl/pivotCache/pivotCacheRecords2.xml><?xml version="1.0" encoding="utf-8"?>
<pivotCacheRecords xmlns="http://schemas.openxmlformats.org/spreadsheetml/2006/main" xmlns:r="http://schemas.openxmlformats.org/officeDocument/2006/relationships" count="200">
  <r>
    <x v="0"/>
    <x v="0"/>
    <n v="1402"/>
    <n v="68"/>
    <n v="124562"/>
    <n v="9.92"/>
    <x v="0"/>
    <x v="0"/>
    <n v="1.0709526179733787E-2"/>
  </r>
  <r>
    <x v="0"/>
    <x v="1"/>
    <n v="995"/>
    <n v="86"/>
    <n v="227958"/>
    <n v="8.0500000000000007"/>
    <x v="1"/>
    <x v="0"/>
    <n v="3.9875766588582107E-3"/>
  </r>
  <r>
    <x v="0"/>
    <x v="2"/>
    <n v="1472"/>
    <n v="296"/>
    <n v="370242"/>
    <n v="7.72"/>
    <x v="2"/>
    <x v="0"/>
    <n v="3.176300905893983E-3"/>
  </r>
  <r>
    <x v="1"/>
    <x v="0"/>
    <n v="1018"/>
    <n v="90"/>
    <n v="92474"/>
    <n v="9.4"/>
    <x v="3"/>
    <x v="1"/>
    <n v="1.0035253152237385E-2"/>
  </r>
  <r>
    <x v="1"/>
    <x v="1"/>
    <n v="1461"/>
    <n v="64"/>
    <n v="328902"/>
    <n v="9.02"/>
    <x v="4"/>
    <x v="1"/>
    <n v="4.247465810484582E-3"/>
  </r>
  <r>
    <x v="1"/>
    <x v="2"/>
    <n v="545"/>
    <n v="93"/>
    <n v="391621"/>
    <n v="9.9600000000000009"/>
    <x v="5"/>
    <x v="1"/>
    <n v="1.1541771253329111E-3"/>
  </r>
  <r>
    <x v="2"/>
    <x v="0"/>
    <n v="881"/>
    <n v="291"/>
    <n v="95885"/>
    <n v="5.29"/>
    <x v="6"/>
    <x v="2"/>
    <n v="6.1532043593888509E-3"/>
  </r>
  <r>
    <x v="2"/>
    <x v="1"/>
    <n v="1414"/>
    <n v="131"/>
    <n v="245947"/>
    <n v="8.3000000000000007"/>
    <x v="7"/>
    <x v="2"/>
    <n v="5.2165710498603361E-3"/>
  </r>
  <r>
    <x v="2"/>
    <x v="2"/>
    <n v="1472"/>
    <n v="170"/>
    <n v="250428"/>
    <n v="4.66"/>
    <x v="8"/>
    <x v="2"/>
    <n v="5.1990991422684362E-3"/>
  </r>
  <r>
    <x v="3"/>
    <x v="0"/>
    <n v="809"/>
    <n v="197"/>
    <n v="87186"/>
    <n v="9.48"/>
    <x v="9"/>
    <x v="3"/>
    <n v="7.0194756038813571E-3"/>
  </r>
  <r>
    <x v="3"/>
    <x v="1"/>
    <n v="1371"/>
    <n v="250"/>
    <n v="128620"/>
    <n v="7.11"/>
    <x v="10"/>
    <x v="3"/>
    <n v="8.7155963302752298E-3"/>
  </r>
  <r>
    <x v="3"/>
    <x v="2"/>
    <n v="844"/>
    <n v="144"/>
    <n v="126015"/>
    <n v="9.65"/>
    <x v="11"/>
    <x v="3"/>
    <n v="5.5548942586200059E-3"/>
  </r>
  <r>
    <x v="4"/>
    <x v="0"/>
    <n v="786"/>
    <n v="72"/>
    <n v="178615"/>
    <n v="5.43"/>
    <x v="12"/>
    <x v="4"/>
    <n v="3.9974246283906723E-3"/>
  </r>
  <r>
    <x v="4"/>
    <x v="1"/>
    <n v="845"/>
    <n v="250"/>
    <n v="218228"/>
    <n v="4.5199999999999996"/>
    <x v="13"/>
    <x v="4"/>
    <n v="2.7265062228494967E-3"/>
  </r>
  <r>
    <x v="4"/>
    <x v="2"/>
    <n v="1218"/>
    <n v="101"/>
    <n v="300397"/>
    <n v="4.33"/>
    <x v="14"/>
    <x v="4"/>
    <n v="3.7184126339477423E-3"/>
  </r>
  <r>
    <x v="5"/>
    <x v="0"/>
    <n v="797"/>
    <n v="130"/>
    <n v="340121"/>
    <n v="8.52"/>
    <x v="15"/>
    <x v="5"/>
    <n v="1.9610667968164271E-3"/>
  </r>
  <r>
    <x v="5"/>
    <x v="1"/>
    <n v="1471"/>
    <n v="100"/>
    <n v="76866"/>
    <n v="8.5500000000000007"/>
    <x v="16"/>
    <x v="5"/>
    <n v="1.7836234485988603E-2"/>
  </r>
  <r>
    <x v="5"/>
    <x v="2"/>
    <n v="1253"/>
    <n v="136"/>
    <n v="193131"/>
    <n v="7.99"/>
    <x v="17"/>
    <x v="5"/>
    <n v="5.7836390843520723E-3"/>
  </r>
  <r>
    <x v="6"/>
    <x v="0"/>
    <n v="616"/>
    <n v="257"/>
    <n v="169665"/>
    <n v="6.31"/>
    <x v="18"/>
    <x v="6"/>
    <n v="2.1159343412017798E-3"/>
  </r>
  <r>
    <x v="6"/>
    <x v="1"/>
    <n v="1308"/>
    <n v="210"/>
    <n v="263729"/>
    <n v="8.5299999999999994"/>
    <x v="19"/>
    <x v="6"/>
    <n v="4.1633646660018432E-3"/>
  </r>
  <r>
    <x v="6"/>
    <x v="2"/>
    <n v="981"/>
    <n v="69"/>
    <n v="206921"/>
    <n v="8.42"/>
    <x v="20"/>
    <x v="6"/>
    <n v="4.4074791828765565E-3"/>
  </r>
  <r>
    <x v="7"/>
    <x v="0"/>
    <n v="866"/>
    <n v="74"/>
    <n v="204121"/>
    <n v="9.34"/>
    <x v="21"/>
    <x v="7"/>
    <n v="3.8800515380583087E-3"/>
  </r>
  <r>
    <x v="7"/>
    <x v="1"/>
    <n v="547"/>
    <n v="183"/>
    <n v="266350"/>
    <n v="5.65"/>
    <x v="22"/>
    <x v="7"/>
    <n v="1.3666228646517741E-3"/>
  </r>
  <r>
    <x v="7"/>
    <x v="2"/>
    <n v="1241"/>
    <n v="116"/>
    <n v="380606"/>
    <n v="4.2"/>
    <x v="23"/>
    <x v="7"/>
    <n v="2.9558125725816196E-3"/>
  </r>
  <r>
    <x v="8"/>
    <x v="0"/>
    <n v="973"/>
    <n v="104"/>
    <n v="376358"/>
    <n v="3.87"/>
    <x v="24"/>
    <x v="8"/>
    <n v="2.3089717768720206E-3"/>
  </r>
  <r>
    <x v="8"/>
    <x v="1"/>
    <n v="611"/>
    <n v="197"/>
    <n v="79423"/>
    <n v="5.82"/>
    <x v="25"/>
    <x v="8"/>
    <n v="5.2125958475504573E-3"/>
  </r>
  <r>
    <x v="8"/>
    <x v="2"/>
    <n v="983"/>
    <n v="134"/>
    <n v="352178"/>
    <n v="3.55"/>
    <x v="26"/>
    <x v="8"/>
    <n v="2.4107127645679174E-3"/>
  </r>
  <r>
    <x v="9"/>
    <x v="0"/>
    <n v="1449"/>
    <n v="96"/>
    <n v="200636"/>
    <n v="9.92"/>
    <x v="27"/>
    <x v="9"/>
    <n v="6.7435554935305723E-3"/>
  </r>
  <r>
    <x v="9"/>
    <x v="1"/>
    <n v="752"/>
    <n v="170"/>
    <n v="132756"/>
    <n v="8.17"/>
    <x v="28"/>
    <x v="9"/>
    <n v="4.3839826448522105E-3"/>
  </r>
  <r>
    <x v="9"/>
    <x v="2"/>
    <n v="937"/>
    <n v="179"/>
    <n v="318098"/>
    <n v="5.3"/>
    <x v="29"/>
    <x v="9"/>
    <n v="2.3829134417695176E-3"/>
  </r>
  <r>
    <x v="10"/>
    <x v="0"/>
    <n v="1060"/>
    <n v="83"/>
    <n v="68724"/>
    <n v="5.98"/>
    <x v="30"/>
    <x v="10"/>
    <n v="1.4216285431581398E-2"/>
  </r>
  <r>
    <x v="10"/>
    <x v="1"/>
    <n v="1456"/>
    <n v="265"/>
    <n v="115505"/>
    <n v="7.49"/>
    <x v="31"/>
    <x v="10"/>
    <n v="1.031124193757846E-2"/>
  </r>
  <r>
    <x v="10"/>
    <x v="2"/>
    <n v="1109"/>
    <n v="205"/>
    <n v="276722"/>
    <n v="9.3800000000000008"/>
    <x v="32"/>
    <x v="10"/>
    <n v="3.2668165162148292E-3"/>
  </r>
  <r>
    <x v="11"/>
    <x v="0"/>
    <n v="1002"/>
    <n v="93"/>
    <n v="353538"/>
    <n v="5.84"/>
    <x v="33"/>
    <x v="11"/>
    <n v="2.5711521816608116E-3"/>
  </r>
  <r>
    <x v="11"/>
    <x v="1"/>
    <n v="571"/>
    <n v="189"/>
    <n v="61445"/>
    <n v="5.41"/>
    <x v="34"/>
    <x v="11"/>
    <n v="6.2169419806330862E-3"/>
  </r>
  <r>
    <x v="11"/>
    <x v="2"/>
    <n v="1240"/>
    <n v="231"/>
    <n v="165035"/>
    <n v="6.05"/>
    <x v="35"/>
    <x v="11"/>
    <n v="6.1138546368952043E-3"/>
  </r>
  <r>
    <x v="12"/>
    <x v="0"/>
    <n v="1154"/>
    <n v="132"/>
    <n v="194595"/>
    <n v="7.54"/>
    <x v="36"/>
    <x v="12"/>
    <n v="5.2519335029163131E-3"/>
  </r>
  <r>
    <x v="12"/>
    <x v="1"/>
    <n v="537"/>
    <n v="275"/>
    <n v="236238"/>
    <n v="5.87"/>
    <x v="37"/>
    <x v="12"/>
    <n v="1.1090510417460359E-3"/>
  </r>
  <r>
    <x v="12"/>
    <x v="2"/>
    <n v="1456"/>
    <n v="290"/>
    <n v="271044"/>
    <n v="7.17"/>
    <x v="38"/>
    <x v="12"/>
    <n v="4.3018845648676966E-3"/>
  </r>
  <r>
    <x v="13"/>
    <x v="0"/>
    <n v="721"/>
    <n v="206"/>
    <n v="334887"/>
    <n v="6.05"/>
    <x v="39"/>
    <x v="13"/>
    <n v="1.5378321642822803E-3"/>
  </r>
  <r>
    <x v="13"/>
    <x v="1"/>
    <n v="1098"/>
    <n v="142"/>
    <n v="359150"/>
    <n v="7.51"/>
    <x v="40"/>
    <x v="13"/>
    <n v="2.6618404566337186E-3"/>
  </r>
  <r>
    <x v="13"/>
    <x v="2"/>
    <n v="1096"/>
    <n v="65"/>
    <n v="358295"/>
    <n v="7.66"/>
    <x v="41"/>
    <x v="13"/>
    <n v="2.8775171297394605E-3"/>
  </r>
  <r>
    <x v="14"/>
    <x v="0"/>
    <n v="912"/>
    <n v="275"/>
    <n v="368454"/>
    <n v="6.03"/>
    <x v="42"/>
    <x v="14"/>
    <n v="1.7288453918263881E-3"/>
  </r>
  <r>
    <x v="14"/>
    <x v="1"/>
    <n v="1430"/>
    <n v="162"/>
    <n v="269082"/>
    <n v="3.4"/>
    <x v="43"/>
    <x v="14"/>
    <n v="4.7123181781018424E-3"/>
  </r>
  <r>
    <x v="14"/>
    <x v="2"/>
    <n v="854"/>
    <n v="129"/>
    <n v="310903"/>
    <n v="7.83"/>
    <x v="44"/>
    <x v="14"/>
    <n v="2.3319170287838973E-3"/>
  </r>
  <r>
    <x v="15"/>
    <x v="0"/>
    <n v="681"/>
    <n v="210"/>
    <n v="248581"/>
    <n v="8.76"/>
    <x v="45"/>
    <x v="15"/>
    <n v="1.8947546272643525E-3"/>
  </r>
  <r>
    <x v="15"/>
    <x v="1"/>
    <n v="1373"/>
    <n v="82"/>
    <n v="371015"/>
    <n v="9.52"/>
    <x v="46"/>
    <x v="15"/>
    <n v="3.4796436801746559E-3"/>
  </r>
  <r>
    <x v="15"/>
    <x v="2"/>
    <n v="685"/>
    <n v="285"/>
    <n v="177452"/>
    <n v="3.36"/>
    <x v="47"/>
    <x v="15"/>
    <n v="2.2541306944976669E-3"/>
  </r>
  <r>
    <x v="16"/>
    <x v="0"/>
    <n v="1290"/>
    <n v="177"/>
    <n v="80745"/>
    <n v="9.2200000000000006"/>
    <x v="48"/>
    <x v="16"/>
    <n v="1.3784135240572171E-2"/>
  </r>
  <r>
    <x v="16"/>
    <x v="1"/>
    <n v="1437"/>
    <n v="239"/>
    <n v="362441"/>
    <n v="5.57"/>
    <x v="49"/>
    <x v="16"/>
    <n v="3.305365562946797E-3"/>
  </r>
  <r>
    <x v="16"/>
    <x v="2"/>
    <n v="769"/>
    <n v="295"/>
    <n v="344771"/>
    <n v="8.06"/>
    <x v="50"/>
    <x v="16"/>
    <n v="1.3748256088824177E-3"/>
  </r>
  <r>
    <x v="17"/>
    <x v="0"/>
    <n v="1416"/>
    <n v="284"/>
    <n v="374952"/>
    <n v="3.45"/>
    <x v="51"/>
    <x v="17"/>
    <n v="3.0190531054641659E-3"/>
  </r>
  <r>
    <x v="17"/>
    <x v="1"/>
    <n v="998"/>
    <n v="154"/>
    <n v="179781"/>
    <n v="9.58"/>
    <x v="52"/>
    <x v="17"/>
    <n v="4.6946006530167259E-3"/>
  </r>
  <r>
    <x v="17"/>
    <x v="2"/>
    <n v="1421"/>
    <n v="246"/>
    <n v="358581"/>
    <n v="8.8800000000000008"/>
    <x v="53"/>
    <x v="17"/>
    <n v="3.2768049617799048E-3"/>
  </r>
  <r>
    <x v="18"/>
    <x v="0"/>
    <n v="764"/>
    <n v="205"/>
    <n v="319294"/>
    <n v="6.23"/>
    <x v="54"/>
    <x v="18"/>
    <n v="1.7507375647522346E-3"/>
  </r>
  <r>
    <x v="18"/>
    <x v="1"/>
    <n v="678"/>
    <n v="124"/>
    <n v="192022"/>
    <n v="8.4499999999999993"/>
    <x v="55"/>
    <x v="18"/>
    <n v="2.8850860838862216E-3"/>
  </r>
  <r>
    <x v="18"/>
    <x v="2"/>
    <n v="1328"/>
    <n v="103"/>
    <n v="151462"/>
    <n v="8.4"/>
    <x v="56"/>
    <x v="18"/>
    <n v="8.0878372132944243E-3"/>
  </r>
  <r>
    <x v="19"/>
    <x v="0"/>
    <n v="1161"/>
    <n v="269"/>
    <n v="188193"/>
    <n v="7.34"/>
    <x v="57"/>
    <x v="19"/>
    <n v="4.7398149771776844E-3"/>
  </r>
  <r>
    <x v="19"/>
    <x v="1"/>
    <n v="588"/>
    <n v="52"/>
    <n v="292040"/>
    <n v="8.14"/>
    <x v="58"/>
    <x v="19"/>
    <n v="1.8353650184906177E-3"/>
  </r>
  <r>
    <x v="19"/>
    <x v="2"/>
    <n v="1457"/>
    <n v="215"/>
    <n v="325325"/>
    <n v="9.58"/>
    <x v="59"/>
    <x v="19"/>
    <n v="3.8177207407976638E-3"/>
  </r>
  <r>
    <x v="20"/>
    <x v="0"/>
    <n v="1190"/>
    <n v="242"/>
    <n v="86849"/>
    <n v="8.06"/>
    <x v="60"/>
    <x v="20"/>
    <n v="1.0915497012055407E-2"/>
  </r>
  <r>
    <x v="20"/>
    <x v="1"/>
    <n v="886"/>
    <n v="124"/>
    <n v="141161"/>
    <n v="8.19"/>
    <x v="61"/>
    <x v="20"/>
    <n v="5.3980915408646862E-3"/>
  </r>
  <r>
    <x v="20"/>
    <x v="2"/>
    <n v="1237"/>
    <n v="155"/>
    <n v="149916"/>
    <n v="4.4800000000000004"/>
    <x v="62"/>
    <x v="20"/>
    <n v="7.2173750633688196E-3"/>
  </r>
  <r>
    <x v="21"/>
    <x v="0"/>
    <n v="1435"/>
    <n v="261"/>
    <n v="308533"/>
    <n v="4.5199999999999996"/>
    <x v="63"/>
    <x v="21"/>
    <n v="3.8051035059458792E-3"/>
  </r>
  <r>
    <x v="21"/>
    <x v="1"/>
    <n v="746"/>
    <n v="282"/>
    <n v="293894"/>
    <n v="5.42"/>
    <x v="64"/>
    <x v="21"/>
    <n v="1.5788005199153436E-3"/>
  </r>
  <r>
    <x v="21"/>
    <x v="2"/>
    <n v="759"/>
    <n v="216"/>
    <n v="147656"/>
    <n v="4.08"/>
    <x v="65"/>
    <x v="21"/>
    <n v="3.6774665438586984E-3"/>
  </r>
  <r>
    <x v="22"/>
    <x v="0"/>
    <n v="1437"/>
    <n v="235"/>
    <n v="326791"/>
    <n v="4.0599999999999996"/>
    <x v="66"/>
    <x v="22"/>
    <n v="3.6781918718691762E-3"/>
  </r>
  <r>
    <x v="22"/>
    <x v="1"/>
    <n v="1463"/>
    <n v="73"/>
    <n v="348877"/>
    <n v="9.91"/>
    <x v="67"/>
    <x v="22"/>
    <n v="3.9842122008616216E-3"/>
  </r>
  <r>
    <x v="22"/>
    <x v="2"/>
    <n v="1208"/>
    <n v="224"/>
    <n v="122730"/>
    <n v="8.7200000000000006"/>
    <x v="68"/>
    <x v="22"/>
    <n v="8.0175996088975802E-3"/>
  </r>
  <r>
    <x v="23"/>
    <x v="0"/>
    <n v="1391"/>
    <n v="187"/>
    <n v="306508"/>
    <n v="8.3800000000000008"/>
    <x v="69"/>
    <x v="23"/>
    <n v="3.9281193313061976E-3"/>
  </r>
  <r>
    <x v="23"/>
    <x v="1"/>
    <n v="655"/>
    <n v="123"/>
    <n v="202472"/>
    <n v="7.56"/>
    <x v="70"/>
    <x v="23"/>
    <n v="2.6275238057607967E-3"/>
  </r>
  <r>
    <x v="23"/>
    <x v="2"/>
    <n v="1148"/>
    <n v="90"/>
    <n v="227249"/>
    <n v="7.24"/>
    <x v="71"/>
    <x v="23"/>
    <n v="4.6556860536239985E-3"/>
  </r>
  <r>
    <x v="24"/>
    <x v="0"/>
    <n v="946"/>
    <n v="270"/>
    <n v="246567"/>
    <n v="4.53"/>
    <x v="72"/>
    <x v="24"/>
    <n v="2.741648314656868E-3"/>
  </r>
  <r>
    <x v="24"/>
    <x v="1"/>
    <n v="791"/>
    <n v="214"/>
    <n v="114738"/>
    <n v="6.62"/>
    <x v="73"/>
    <x v="24"/>
    <n v="5.0288483327232481E-3"/>
  </r>
  <r>
    <x v="24"/>
    <x v="2"/>
    <n v="793"/>
    <n v="111"/>
    <n v="333500"/>
    <n v="6.36"/>
    <x v="74"/>
    <x v="24"/>
    <n v="2.0449775112443779E-3"/>
  </r>
  <r>
    <x v="25"/>
    <x v="0"/>
    <n v="663"/>
    <n v="213"/>
    <n v="352677"/>
    <n v="9"/>
    <x v="75"/>
    <x v="25"/>
    <n v="1.2759550523566889E-3"/>
  </r>
  <r>
    <x v="25"/>
    <x v="1"/>
    <n v="954"/>
    <n v="271"/>
    <n v="160936"/>
    <n v="8.83"/>
    <x v="76"/>
    <x v="25"/>
    <n v="4.2439230501565839E-3"/>
  </r>
  <r>
    <x v="25"/>
    <x v="2"/>
    <n v="1313"/>
    <n v="159"/>
    <n v="197183"/>
    <n v="9.7100000000000009"/>
    <x v="77"/>
    <x v="25"/>
    <n v="5.8524314976443207E-3"/>
  </r>
  <r>
    <x v="26"/>
    <x v="0"/>
    <n v="895"/>
    <n v="87"/>
    <n v="171271"/>
    <n v="6.68"/>
    <x v="78"/>
    <x v="26"/>
    <n v="4.7176696580273365E-3"/>
  </r>
  <r>
    <x v="26"/>
    <x v="1"/>
    <n v="1027"/>
    <n v="156"/>
    <n v="111293"/>
    <n v="5.51"/>
    <x v="79"/>
    <x v="26"/>
    <n v="7.8261885293774095E-3"/>
  </r>
  <r>
    <x v="26"/>
    <x v="2"/>
    <n v="990"/>
    <n v="286"/>
    <n v="351493"/>
    <n v="7.97"/>
    <x v="80"/>
    <x v="26"/>
    <n v="2.0028848369668811E-3"/>
  </r>
  <r>
    <x v="27"/>
    <x v="0"/>
    <n v="875"/>
    <n v="264"/>
    <n v="345631"/>
    <n v="9.18"/>
    <x v="81"/>
    <x v="27"/>
    <n v="1.7677812464738406E-3"/>
  </r>
  <r>
    <x v="27"/>
    <x v="1"/>
    <n v="599"/>
    <n v="194"/>
    <n v="105622"/>
    <n v="6.44"/>
    <x v="82"/>
    <x v="27"/>
    <n v="3.8344284334702996E-3"/>
  </r>
  <r>
    <x v="27"/>
    <x v="2"/>
    <n v="630"/>
    <n v="248"/>
    <n v="119054"/>
    <n v="5.0199999999999996"/>
    <x v="83"/>
    <x v="27"/>
    <n v="3.2086280175382597E-3"/>
  </r>
  <r>
    <x v="28"/>
    <x v="0"/>
    <n v="1350"/>
    <n v="233"/>
    <n v="171670"/>
    <n v="4.53"/>
    <x v="84"/>
    <x v="28"/>
    <n v="6.506669773402458E-3"/>
  </r>
  <r>
    <x v="28"/>
    <x v="1"/>
    <n v="632"/>
    <n v="155"/>
    <n v="170432"/>
    <n v="9.17"/>
    <x v="85"/>
    <x v="28"/>
    <n v="2.7987701840030041E-3"/>
  </r>
  <r>
    <x v="28"/>
    <x v="2"/>
    <n v="1182"/>
    <n v="83"/>
    <n v="140300"/>
    <n v="3.27"/>
    <x v="86"/>
    <x v="28"/>
    <n v="7.8332145402708487E-3"/>
  </r>
  <r>
    <x v="29"/>
    <x v="0"/>
    <n v="661"/>
    <n v="94"/>
    <n v="116538"/>
    <n v="5.31"/>
    <x v="87"/>
    <x v="29"/>
    <n v="4.8653658034289241E-3"/>
  </r>
  <r>
    <x v="29"/>
    <x v="1"/>
    <n v="1360"/>
    <n v="227"/>
    <n v="176902"/>
    <n v="6.03"/>
    <x v="88"/>
    <x v="29"/>
    <n v="6.4046760353189906E-3"/>
  </r>
  <r>
    <x v="29"/>
    <x v="2"/>
    <n v="935"/>
    <n v="85"/>
    <n v="326821"/>
    <n v="8.89"/>
    <x v="89"/>
    <x v="29"/>
    <n v="2.60081206532016E-3"/>
  </r>
  <r>
    <x v="30"/>
    <x v="0"/>
    <n v="664"/>
    <n v="251"/>
    <n v="240598"/>
    <n v="4.79"/>
    <x v="90"/>
    <x v="30"/>
    <n v="1.7165562473503519E-3"/>
  </r>
  <r>
    <x v="30"/>
    <x v="1"/>
    <n v="1490"/>
    <n v="103"/>
    <n v="373274"/>
    <n v="4.8"/>
    <x v="91"/>
    <x v="30"/>
    <n v="3.7157691133055076E-3"/>
  </r>
  <r>
    <x v="30"/>
    <x v="2"/>
    <n v="601"/>
    <n v="64"/>
    <n v="123272"/>
    <n v="4.07"/>
    <x v="92"/>
    <x v="30"/>
    <n v="4.3562203906807708E-3"/>
  </r>
  <r>
    <x v="31"/>
    <x v="0"/>
    <n v="613"/>
    <n v="170"/>
    <n v="139266"/>
    <n v="6.06"/>
    <x v="93"/>
    <x v="31"/>
    <n v="3.1809630491290049E-3"/>
  </r>
  <r>
    <x v="31"/>
    <x v="1"/>
    <n v="1340"/>
    <n v="57"/>
    <n v="155927"/>
    <n v="7.79"/>
    <x v="94"/>
    <x v="31"/>
    <n v="8.2282093543773697E-3"/>
  </r>
  <r>
    <x v="31"/>
    <x v="2"/>
    <n v="953"/>
    <n v="228"/>
    <n v="258398"/>
    <n v="9.0500000000000007"/>
    <x v="95"/>
    <x v="31"/>
    <n v="2.8057492705051896E-3"/>
  </r>
  <r>
    <x v="32"/>
    <x v="0"/>
    <n v="532"/>
    <n v="65"/>
    <n v="338561"/>
    <n v="3.5"/>
    <x v="96"/>
    <x v="32"/>
    <n v="1.3793673813581599E-3"/>
  </r>
  <r>
    <x v="32"/>
    <x v="1"/>
    <n v="1414"/>
    <n v="60"/>
    <n v="341856"/>
    <n v="8.76"/>
    <x v="97"/>
    <x v="32"/>
    <n v="3.960732004118693E-3"/>
  </r>
  <r>
    <x v="32"/>
    <x v="2"/>
    <n v="685"/>
    <n v="165"/>
    <n v="175860"/>
    <n v="6.26"/>
    <x v="98"/>
    <x v="32"/>
    <n v="2.9568975321278288E-3"/>
  </r>
  <r>
    <x v="33"/>
    <x v="0"/>
    <n v="601"/>
    <n v="159"/>
    <n v="327722"/>
    <n v="3.33"/>
    <x v="99"/>
    <x v="33"/>
    <n v="1.3487040845594743E-3"/>
  </r>
  <r>
    <x v="33"/>
    <x v="1"/>
    <n v="841"/>
    <n v="295"/>
    <n v="271638"/>
    <n v="9.15"/>
    <x v="100"/>
    <x v="33"/>
    <n v="2.0100280520398473E-3"/>
  </r>
  <r>
    <x v="33"/>
    <x v="2"/>
    <n v="1105"/>
    <n v="261"/>
    <n v="333851"/>
    <n v="6.03"/>
    <x v="101"/>
    <x v="33"/>
    <n v="2.5280739012313877E-3"/>
  </r>
  <r>
    <x v="34"/>
    <x v="0"/>
    <n v="566"/>
    <n v="225"/>
    <n v="368984"/>
    <n v="9.82"/>
    <x v="102"/>
    <x v="34"/>
    <n v="9.2415931314094918E-4"/>
  </r>
  <r>
    <x v="34"/>
    <x v="1"/>
    <n v="1149"/>
    <n v="280"/>
    <n v="167310"/>
    <n v="3.7"/>
    <x v="103"/>
    <x v="34"/>
    <n v="5.1939513477975013E-3"/>
  </r>
  <r>
    <x v="34"/>
    <x v="2"/>
    <n v="819"/>
    <n v="101"/>
    <n v="194811"/>
    <n v="3.35"/>
    <x v="104"/>
    <x v="34"/>
    <n v="3.685623501752981E-3"/>
  </r>
  <r>
    <x v="35"/>
    <x v="0"/>
    <n v="795"/>
    <n v="60"/>
    <n v="314982"/>
    <n v="7.31"/>
    <x v="105"/>
    <x v="35"/>
    <n v="2.3334666742861497E-3"/>
  </r>
  <r>
    <x v="35"/>
    <x v="1"/>
    <n v="681"/>
    <n v="158"/>
    <n v="75960"/>
    <n v="3.13"/>
    <x v="106"/>
    <x v="35"/>
    <n v="6.8852027382833069E-3"/>
  </r>
  <r>
    <x v="35"/>
    <x v="2"/>
    <n v="534"/>
    <n v="112"/>
    <n v="360759"/>
    <n v="4.8899999999999997"/>
    <x v="107"/>
    <x v="35"/>
    <n v="1.1697559866836308E-3"/>
  </r>
  <r>
    <x v="36"/>
    <x v="0"/>
    <n v="1066"/>
    <n v="151"/>
    <n v="297090"/>
    <n v="8.6300000000000008"/>
    <x v="108"/>
    <x v="36"/>
    <n v="3.0798747854185599E-3"/>
  </r>
  <r>
    <x v="36"/>
    <x v="1"/>
    <n v="1270"/>
    <n v="162"/>
    <n v="92040"/>
    <n v="8.0299999999999994"/>
    <x v="109"/>
    <x v="36"/>
    <n v="1.2038244241634072E-2"/>
  </r>
  <r>
    <x v="36"/>
    <x v="2"/>
    <n v="536"/>
    <n v="198"/>
    <n v="174610"/>
    <n v="7.85"/>
    <x v="110"/>
    <x v="36"/>
    <n v="1.9357425118836263E-3"/>
  </r>
  <r>
    <x v="37"/>
    <x v="0"/>
    <n v="819"/>
    <n v="95"/>
    <n v="177376"/>
    <n v="6.12"/>
    <x v="111"/>
    <x v="37"/>
    <n v="4.0817246978170664E-3"/>
  </r>
  <r>
    <x v="37"/>
    <x v="1"/>
    <n v="681"/>
    <n v="218"/>
    <n v="198882"/>
    <n v="7.16"/>
    <x v="112"/>
    <x v="37"/>
    <n v="2.3280135960016494E-3"/>
  </r>
  <r>
    <x v="37"/>
    <x v="2"/>
    <n v="646"/>
    <n v="290"/>
    <n v="336383"/>
    <n v="7.04"/>
    <x v="113"/>
    <x v="37"/>
    <n v="1.0583174536168594E-3"/>
  </r>
  <r>
    <x v="38"/>
    <x v="0"/>
    <n v="645"/>
    <n v="267"/>
    <n v="346890"/>
    <n v="3.71"/>
    <x v="114"/>
    <x v="38"/>
    <n v="1.0896826083196401E-3"/>
  </r>
  <r>
    <x v="38"/>
    <x v="1"/>
    <n v="886"/>
    <n v="250"/>
    <n v="168170"/>
    <n v="4.12"/>
    <x v="115"/>
    <x v="38"/>
    <n v="3.7818873758696555E-3"/>
  </r>
  <r>
    <x v="38"/>
    <x v="2"/>
    <n v="978"/>
    <n v="279"/>
    <n v="368872"/>
    <n v="6.82"/>
    <x v="116"/>
    <x v="38"/>
    <n v="1.8949662755644234E-3"/>
  </r>
  <r>
    <x v="39"/>
    <x v="0"/>
    <n v="1444"/>
    <n v="165"/>
    <n v="116436"/>
    <n v="8.2200000000000006"/>
    <x v="117"/>
    <x v="39"/>
    <n v="1.0984575217286749E-2"/>
  </r>
  <r>
    <x v="39"/>
    <x v="1"/>
    <n v="1234"/>
    <n v="228"/>
    <n v="127502"/>
    <n v="7.71"/>
    <x v="118"/>
    <x v="39"/>
    <n v="7.8900723125911749E-3"/>
  </r>
  <r>
    <x v="39"/>
    <x v="2"/>
    <n v="665"/>
    <n v="187"/>
    <n v="274567"/>
    <n v="7.39"/>
    <x v="119"/>
    <x v="39"/>
    <n v="1.7409229805475531E-3"/>
  </r>
  <r>
    <x v="40"/>
    <x v="0"/>
    <n v="631"/>
    <n v="86"/>
    <n v="295090"/>
    <n v="7.89"/>
    <x v="120"/>
    <x v="40"/>
    <n v="1.8468941678809856E-3"/>
  </r>
  <r>
    <x v="40"/>
    <x v="1"/>
    <n v="1159"/>
    <n v="154"/>
    <n v="194994"/>
    <n v="6.39"/>
    <x v="121"/>
    <x v="40"/>
    <n v="5.1540047386073422E-3"/>
  </r>
  <r>
    <x v="40"/>
    <x v="2"/>
    <n v="950"/>
    <n v="185"/>
    <n v="340750"/>
    <n v="6.77"/>
    <x v="122"/>
    <x v="40"/>
    <n v="2.2450476889214967E-3"/>
  </r>
  <r>
    <x v="41"/>
    <x v="0"/>
    <n v="693"/>
    <n v="129"/>
    <n v="296031"/>
    <n v="3.41"/>
    <x v="123"/>
    <x v="41"/>
    <n v="1.9052058737091724E-3"/>
  </r>
  <r>
    <x v="41"/>
    <x v="1"/>
    <n v="576"/>
    <n v="80"/>
    <n v="345688"/>
    <n v="4.1100000000000003"/>
    <x v="124"/>
    <x v="41"/>
    <n v="1.4348198375413667E-3"/>
  </r>
  <r>
    <x v="41"/>
    <x v="2"/>
    <n v="1274"/>
    <n v="146"/>
    <n v="263488"/>
    <n v="9.58"/>
    <x v="125"/>
    <x v="41"/>
    <n v="4.2810298761233904E-3"/>
  </r>
  <r>
    <x v="42"/>
    <x v="0"/>
    <n v="818"/>
    <n v="253"/>
    <n v="184911"/>
    <n v="3.39"/>
    <x v="126"/>
    <x v="42"/>
    <n v="3.0555240088474996E-3"/>
  </r>
  <r>
    <x v="42"/>
    <x v="1"/>
    <n v="975"/>
    <n v="162"/>
    <n v="124497"/>
    <n v="9.58"/>
    <x v="127"/>
    <x v="42"/>
    <n v="6.5302778380201933E-3"/>
  </r>
  <r>
    <x v="42"/>
    <x v="2"/>
    <n v="1398"/>
    <n v="97"/>
    <n v="397607"/>
    <n v="5.09"/>
    <x v="128"/>
    <x v="42"/>
    <n v="3.2720751898231166E-3"/>
  </r>
  <r>
    <x v="43"/>
    <x v="0"/>
    <n v="591"/>
    <n v="155"/>
    <n v="138521"/>
    <n v="7.85"/>
    <x v="129"/>
    <x v="43"/>
    <n v="3.1475371965261584E-3"/>
  </r>
  <r>
    <x v="43"/>
    <x v="1"/>
    <n v="1232"/>
    <n v="254"/>
    <n v="107718"/>
    <n v="9.7100000000000009"/>
    <x v="130"/>
    <x v="43"/>
    <n v="9.0792625187990864E-3"/>
  </r>
  <r>
    <x v="43"/>
    <x v="2"/>
    <n v="1425"/>
    <n v="58"/>
    <n v="202234"/>
    <n v="6.67"/>
    <x v="131"/>
    <x v="43"/>
    <n v="6.7594964249334932E-3"/>
  </r>
  <r>
    <x v="44"/>
    <x v="0"/>
    <n v="1417"/>
    <n v="80"/>
    <n v="340987"/>
    <n v="6.13"/>
    <x v="132"/>
    <x v="44"/>
    <n v="3.9209705941868752E-3"/>
  </r>
  <r>
    <x v="44"/>
    <x v="1"/>
    <n v="1222"/>
    <n v="208"/>
    <n v="340098"/>
    <n v="7.34"/>
    <x v="133"/>
    <x v="44"/>
    <n v="2.9814935695005556E-3"/>
  </r>
  <r>
    <x v="44"/>
    <x v="2"/>
    <n v="1071"/>
    <n v="131"/>
    <n v="254727"/>
    <n v="6.87"/>
    <x v="134"/>
    <x v="44"/>
    <n v="3.6902252215116576E-3"/>
  </r>
  <r>
    <x v="45"/>
    <x v="0"/>
    <n v="772"/>
    <n v="82"/>
    <n v="345659"/>
    <n v="3.52"/>
    <x v="135"/>
    <x v="45"/>
    <n v="1.9961869935398759E-3"/>
  </r>
  <r>
    <x v="45"/>
    <x v="1"/>
    <n v="1472"/>
    <n v="137"/>
    <n v="213950"/>
    <n v="6.96"/>
    <x v="136"/>
    <x v="45"/>
    <n v="6.2397756485160086E-3"/>
  </r>
  <r>
    <x v="45"/>
    <x v="2"/>
    <n v="1472"/>
    <n v="281"/>
    <n v="258115"/>
    <n v="7.23"/>
    <x v="137"/>
    <x v="45"/>
    <n v="4.6142223427541986E-3"/>
  </r>
  <r>
    <x v="46"/>
    <x v="0"/>
    <n v="585"/>
    <n v="232"/>
    <n v="321258"/>
    <n v="7.42"/>
    <x v="138"/>
    <x v="46"/>
    <n v="1.0988053215795403E-3"/>
  </r>
  <r>
    <x v="46"/>
    <x v="1"/>
    <n v="747"/>
    <n v="261"/>
    <n v="338650"/>
    <n v="7.73"/>
    <x v="139"/>
    <x v="46"/>
    <n v="1.4351099955706482E-3"/>
  </r>
  <r>
    <x v="46"/>
    <x v="2"/>
    <n v="1113"/>
    <n v="224"/>
    <n v="272989"/>
    <n v="5.13"/>
    <x v="140"/>
    <x v="46"/>
    <n v="3.2565414723670183E-3"/>
  </r>
  <r>
    <x v="47"/>
    <x v="0"/>
    <n v="1100"/>
    <n v="117"/>
    <n v="260204"/>
    <n v="4.4000000000000004"/>
    <x v="141"/>
    <x v="47"/>
    <n v="3.7778051067623862E-3"/>
  </r>
  <r>
    <x v="47"/>
    <x v="1"/>
    <n v="751"/>
    <n v="170"/>
    <n v="283278"/>
    <n v="3.49"/>
    <x v="142"/>
    <x v="47"/>
    <n v="2.0509887813384732E-3"/>
  </r>
  <r>
    <x v="47"/>
    <x v="2"/>
    <n v="864"/>
    <n v="50"/>
    <n v="277445"/>
    <n v="3.57"/>
    <x v="143"/>
    <x v="47"/>
    <n v="2.9339148299662998E-3"/>
  </r>
  <r>
    <x v="48"/>
    <x v="0"/>
    <n v="1146"/>
    <n v="227"/>
    <n v="353781"/>
    <n v="6.41"/>
    <x v="144"/>
    <x v="48"/>
    <n v="2.5976522198761379E-3"/>
  </r>
  <r>
    <x v="48"/>
    <x v="1"/>
    <n v="883"/>
    <n v="207"/>
    <n v="265019"/>
    <n v="6.04"/>
    <x v="145"/>
    <x v="48"/>
    <n v="2.5507605115104954E-3"/>
  </r>
  <r>
    <x v="48"/>
    <x v="2"/>
    <n v="622"/>
    <n v="163"/>
    <n v="231925"/>
    <n v="9.18"/>
    <x v="146"/>
    <x v="48"/>
    <n v="1.9790880672631238E-3"/>
  </r>
  <r>
    <x v="49"/>
    <x v="0"/>
    <n v="837"/>
    <n v="261"/>
    <n v="366149"/>
    <n v="6.54"/>
    <x v="147"/>
    <x v="49"/>
    <n v="1.5731300645365684E-3"/>
  </r>
  <r>
    <x v="49"/>
    <x v="1"/>
    <n v="544"/>
    <n v="97"/>
    <n v="168375"/>
    <n v="8.66"/>
    <x v="148"/>
    <x v="49"/>
    <n v="2.6547884187082403E-3"/>
  </r>
  <r>
    <x v="49"/>
    <x v="2"/>
    <n v="624"/>
    <n v="247"/>
    <n v="252763"/>
    <n v="3.89"/>
    <x v="149"/>
    <x v="49"/>
    <n v="1.4915157677349929E-3"/>
  </r>
  <r>
    <x v="50"/>
    <x v="0"/>
    <n v="1073"/>
    <n v="141"/>
    <n v="118393"/>
    <n v="7.95"/>
    <x v="150"/>
    <x v="50"/>
    <n v="7.872087032172511E-3"/>
  </r>
  <r>
    <x v="50"/>
    <x v="1"/>
    <n v="1430"/>
    <n v="74"/>
    <n v="327012"/>
    <n v="6.66"/>
    <x v="151"/>
    <x v="50"/>
    <n v="4.1466368206671319E-3"/>
  </r>
  <r>
    <x v="50"/>
    <x v="2"/>
    <n v="1358"/>
    <n v="77"/>
    <n v="169688"/>
    <n v="5.25"/>
    <x v="152"/>
    <x v="50"/>
    <n v="7.5491490264485411E-3"/>
  </r>
  <r>
    <x v="51"/>
    <x v="0"/>
    <n v="1242"/>
    <n v="201"/>
    <n v="271935"/>
    <n v="5.07"/>
    <x v="153"/>
    <x v="51"/>
    <n v="3.8281206906062111E-3"/>
  </r>
  <r>
    <x v="51"/>
    <x v="1"/>
    <n v="1389"/>
    <n v="205"/>
    <n v="315981"/>
    <n v="7.62"/>
    <x v="154"/>
    <x v="51"/>
    <n v="3.7470607409939207E-3"/>
  </r>
  <r>
    <x v="51"/>
    <x v="2"/>
    <n v="826"/>
    <n v="142"/>
    <n v="341016"/>
    <n v="7.44"/>
    <x v="155"/>
    <x v="51"/>
    <n v="2.005770990217468E-3"/>
  </r>
  <r>
    <x v="52"/>
    <x v="0"/>
    <n v="618"/>
    <n v="264"/>
    <n v="285164"/>
    <n v="4.8600000000000003"/>
    <x v="156"/>
    <x v="0"/>
    <n v="1.2413909189098204E-3"/>
  </r>
  <r>
    <x v="52"/>
    <x v="1"/>
    <n v="1419"/>
    <n v="293"/>
    <n v="116632"/>
    <n v="6.93"/>
    <x v="157"/>
    <x v="0"/>
    <n v="9.6542972769051369E-3"/>
  </r>
  <r>
    <x v="52"/>
    <x v="2"/>
    <n v="637"/>
    <n v="68"/>
    <n v="115694"/>
    <n v="9.99"/>
    <x v="158"/>
    <x v="0"/>
    <n v="4.9181461441388493E-3"/>
  </r>
  <r>
    <x v="53"/>
    <x v="0"/>
    <n v="917"/>
    <n v="187"/>
    <n v="64444"/>
    <n v="5.22"/>
    <x v="159"/>
    <x v="1"/>
    <n v="1.1327664328719508E-2"/>
  </r>
  <r>
    <x v="53"/>
    <x v="1"/>
    <n v="810"/>
    <n v="232"/>
    <n v="362559"/>
    <n v="5.17"/>
    <x v="160"/>
    <x v="1"/>
    <n v="1.5942232850377457E-3"/>
  </r>
  <r>
    <x v="53"/>
    <x v="2"/>
    <n v="1183"/>
    <n v="248"/>
    <n v="226881"/>
    <n v="5.17"/>
    <x v="161"/>
    <x v="1"/>
    <n v="4.1211031333606603E-3"/>
  </r>
  <r>
    <x v="54"/>
    <x v="0"/>
    <n v="765"/>
    <n v="67"/>
    <n v="283537"/>
    <n v="6.18"/>
    <x v="162"/>
    <x v="2"/>
    <n v="2.4617598408673293E-3"/>
  </r>
  <r>
    <x v="54"/>
    <x v="1"/>
    <n v="540"/>
    <n v="215"/>
    <n v="62837"/>
    <n v="5.3"/>
    <x v="163"/>
    <x v="2"/>
    <n v="5.1721119722456512E-3"/>
  </r>
  <r>
    <x v="54"/>
    <x v="2"/>
    <n v="1145"/>
    <n v="151"/>
    <n v="182759"/>
    <n v="5.99"/>
    <x v="164"/>
    <x v="2"/>
    <n v="5.4388566363352828E-3"/>
  </r>
  <r>
    <x v="55"/>
    <x v="0"/>
    <n v="564"/>
    <n v="244"/>
    <n v="279405"/>
    <n v="8.43"/>
    <x v="165"/>
    <x v="3"/>
    <n v="1.1452908859898713E-3"/>
  </r>
  <r>
    <x v="55"/>
    <x v="1"/>
    <n v="668"/>
    <n v="124"/>
    <n v="257485"/>
    <n v="7.55"/>
    <x v="166"/>
    <x v="3"/>
    <n v="2.1127444317144686E-3"/>
  </r>
  <r>
    <x v="55"/>
    <x v="2"/>
    <n v="761"/>
    <n v="241"/>
    <n v="154977"/>
    <n v="5.63"/>
    <x v="90"/>
    <x v="3"/>
    <n v="3.3553365983339462E-3"/>
  </r>
  <r>
    <x v="56"/>
    <x v="0"/>
    <n v="593"/>
    <n v="108"/>
    <n v="216500"/>
    <n v="4.71"/>
    <x v="167"/>
    <x v="4"/>
    <n v="2.2401847575057735E-3"/>
  </r>
  <r>
    <x v="56"/>
    <x v="1"/>
    <n v="1349"/>
    <n v="115"/>
    <n v="102102"/>
    <n v="5.28"/>
    <x v="168"/>
    <x v="4"/>
    <n v="1.208595326242385E-2"/>
  </r>
  <r>
    <x v="56"/>
    <x v="2"/>
    <n v="693"/>
    <n v="97"/>
    <n v="92025"/>
    <n v="5.95"/>
    <x v="169"/>
    <x v="4"/>
    <n v="6.4765009508285796E-3"/>
  </r>
  <r>
    <x v="57"/>
    <x v="0"/>
    <n v="974"/>
    <n v="143"/>
    <n v="247965"/>
    <n v="9.98"/>
    <x v="170"/>
    <x v="5"/>
    <n v="3.3512794144334888E-3"/>
  </r>
  <r>
    <x v="57"/>
    <x v="1"/>
    <n v="1155"/>
    <n v="122"/>
    <n v="387352"/>
    <n v="9.93"/>
    <x v="171"/>
    <x v="5"/>
    <n v="2.6668250067122413E-3"/>
  </r>
  <r>
    <x v="57"/>
    <x v="2"/>
    <n v="1051"/>
    <n v="246"/>
    <n v="253985"/>
    <n v="9.08"/>
    <x v="172"/>
    <x v="5"/>
    <n v="3.1694785125105812E-3"/>
  </r>
  <r>
    <x v="58"/>
    <x v="0"/>
    <n v="1457"/>
    <n v="183"/>
    <n v="129640"/>
    <n v="7.98"/>
    <x v="173"/>
    <x v="6"/>
    <n v="9.827213822894169E-3"/>
  </r>
  <r>
    <x v="58"/>
    <x v="1"/>
    <n v="670"/>
    <n v="242"/>
    <n v="281913"/>
    <n v="9.6199999999999992"/>
    <x v="174"/>
    <x v="6"/>
    <n v="1.5181988769584942E-3"/>
  </r>
  <r>
    <x v="58"/>
    <x v="2"/>
    <n v="1111"/>
    <n v="159"/>
    <n v="360770"/>
    <n v="8.7100000000000009"/>
    <x v="175"/>
    <x v="6"/>
    <n v="2.6388003437092886E-3"/>
  </r>
  <r>
    <x v="59"/>
    <x v="0"/>
    <n v="1197"/>
    <n v="246"/>
    <n v="127273"/>
    <n v="6.69"/>
    <x v="176"/>
    <x v="7"/>
    <n v="7.4721268454424738E-3"/>
  </r>
  <r>
    <x v="59"/>
    <x v="1"/>
    <n v="754"/>
    <n v="150"/>
    <n v="189622"/>
    <n v="4.25"/>
    <x v="120"/>
    <x v="7"/>
    <n v="3.1852844079273504E-3"/>
  </r>
  <r>
    <x v="59"/>
    <x v="2"/>
    <n v="1246"/>
    <n v="107"/>
    <n v="350949"/>
    <n v="4.9800000000000004"/>
    <x v="177"/>
    <x v="7"/>
    <n v="3.2454858113287115E-3"/>
  </r>
  <r>
    <x v="60"/>
    <x v="0"/>
    <n v="780"/>
    <n v="213"/>
    <n v="121431"/>
    <n v="4.97"/>
    <x v="178"/>
    <x v="8"/>
    <n v="4.669318378338316E-3"/>
  </r>
  <r>
    <x v="60"/>
    <x v="1"/>
    <n v="1425"/>
    <n v="143"/>
    <n v="116742"/>
    <n v="3.71"/>
    <x v="179"/>
    <x v="8"/>
    <n v="1.0981480529715098E-2"/>
  </r>
  <r>
    <x v="60"/>
    <x v="2"/>
    <n v="1490"/>
    <n v="103"/>
    <n v="81184"/>
    <n v="7.79"/>
    <x v="180"/>
    <x v="8"/>
    <n v="1.7084647221127316E-2"/>
  </r>
  <r>
    <x v="61"/>
    <x v="0"/>
    <n v="949"/>
    <n v="282"/>
    <n v="87126"/>
    <n v="4.96"/>
    <x v="181"/>
    <x v="9"/>
    <n v="7.6555792759910937E-3"/>
  </r>
  <r>
    <x v="61"/>
    <x v="1"/>
    <n v="640"/>
    <n v="141"/>
    <n v="267546"/>
    <n v="8.58"/>
    <x v="182"/>
    <x v="9"/>
    <n v="1.8650998332996943E-3"/>
  </r>
  <r>
    <x v="61"/>
    <x v="2"/>
    <n v="616"/>
    <n v="93"/>
    <n v="133082"/>
    <n v="8.51"/>
    <x v="183"/>
    <x v="9"/>
    <n v="3.9299078763469142E-3"/>
  </r>
  <r>
    <x v="62"/>
    <x v="0"/>
    <n v="1080"/>
    <n v="184"/>
    <n v="340557"/>
    <n v="5.41"/>
    <x v="184"/>
    <x v="10"/>
    <n v="2.6309839468870114E-3"/>
  </r>
  <r>
    <x v="62"/>
    <x v="1"/>
    <n v="938"/>
    <n v="236"/>
    <n v="116472"/>
    <n v="8.7200000000000006"/>
    <x v="185"/>
    <x v="10"/>
    <n v="6.0271996703070265E-3"/>
  </r>
  <r>
    <x v="62"/>
    <x v="2"/>
    <n v="1007"/>
    <n v="258"/>
    <n v="113412"/>
    <n v="7.71"/>
    <x v="186"/>
    <x v="10"/>
    <n v="6.6042394102916796E-3"/>
  </r>
  <r>
    <x v="63"/>
    <x v="0"/>
    <n v="541"/>
    <n v="208"/>
    <n v="157547"/>
    <n v="8.35"/>
    <x v="187"/>
    <x v="11"/>
    <n v="2.1136549728017671E-3"/>
  </r>
  <r>
    <x v="63"/>
    <x v="1"/>
    <n v="745"/>
    <n v="98"/>
    <n v="354816"/>
    <n v="4.03"/>
    <x v="188"/>
    <x v="11"/>
    <n v="1.823480339105339E-3"/>
  </r>
  <r>
    <x v="63"/>
    <x v="2"/>
    <n v="936"/>
    <n v="97"/>
    <n v="151799"/>
    <n v="9.3699999999999992"/>
    <x v="189"/>
    <x v="11"/>
    <n v="5.5270456327116777E-3"/>
  </r>
  <r>
    <x v="64"/>
    <x v="0"/>
    <n v="1183"/>
    <n v="223"/>
    <n v="143811"/>
    <n v="6.07"/>
    <x v="190"/>
    <x v="12"/>
    <n v="6.6754281661347186E-3"/>
  </r>
  <r>
    <x v="64"/>
    <x v="1"/>
    <n v="1413"/>
    <n v="245"/>
    <n v="296450"/>
    <n v="6.52"/>
    <x v="191"/>
    <x v="12"/>
    <n v="3.9399561477483558E-3"/>
  </r>
  <r>
    <x v="64"/>
    <x v="2"/>
    <n v="791"/>
    <n v="273"/>
    <n v="144049"/>
    <n v="3.08"/>
    <x v="192"/>
    <x v="12"/>
    <n v="3.5959985838152297E-3"/>
  </r>
  <r>
    <x v="65"/>
    <x v="0"/>
    <n v="1052"/>
    <n v="180"/>
    <n v="272534"/>
    <n v="5.34"/>
    <x v="193"/>
    <x v="13"/>
    <n v="3.1996007837554212E-3"/>
  </r>
  <r>
    <x v="65"/>
    <x v="1"/>
    <n v="572"/>
    <n v="270"/>
    <n v="82265"/>
    <n v="3.65"/>
    <x v="194"/>
    <x v="13"/>
    <n v="3.6710630280192063E-3"/>
  </r>
  <r>
    <x v="65"/>
    <x v="2"/>
    <n v="503"/>
    <n v="253"/>
    <n v="313562"/>
    <n v="4.18"/>
    <x v="195"/>
    <x v="13"/>
    <n v="7.9729048800556194E-4"/>
  </r>
  <r>
    <x v="66"/>
    <x v="0"/>
    <n v="1017"/>
    <n v="197"/>
    <n v="89918"/>
    <n v="3.91"/>
    <x v="196"/>
    <x v="14"/>
    <n v="9.1194199159233963E-3"/>
  </r>
  <r>
    <x v="66"/>
    <x v="1"/>
    <n v="860"/>
    <n v="244"/>
    <n v="348686"/>
    <n v="5.12"/>
    <x v="197"/>
    <x v="14"/>
    <n v="1.7666324429429343E-3"/>
  </r>
</pivotCacheRecords>
</file>

<file path=xl/pivotCache/pivotCacheRecords3.xml><?xml version="1.0" encoding="utf-8"?>
<pivotCacheRecords xmlns="http://schemas.openxmlformats.org/spreadsheetml/2006/main" xmlns:r="http://schemas.openxmlformats.org/officeDocument/2006/relationships" count="4">
  <r>
    <x v="0"/>
    <s v="2024-06-15"/>
    <s v="2024-07-15"/>
    <s v="Brand Awareness"/>
    <n v="175000"/>
    <x v="0"/>
    <x v="0"/>
    <x v="0"/>
    <x v="0"/>
  </r>
  <r>
    <x v="1"/>
    <s v="2024-12-01"/>
    <s v="2024-12-31"/>
    <s v="Engagement"/>
    <n v="225000"/>
    <x v="1"/>
    <x v="0"/>
    <x v="0"/>
    <x v="1"/>
  </r>
  <r>
    <x v="2"/>
    <s v="2025-01-10"/>
    <s v="2025-02-10"/>
    <s v="Product Launch"/>
    <n v="200000"/>
    <x v="0"/>
    <x v="1"/>
    <x v="1"/>
    <x v="2"/>
  </r>
  <r>
    <x v="3"/>
    <s v="2025-03-01"/>
    <s v="2025-03-31"/>
    <s v="Traffic"/>
    <n v="160000"/>
    <x v="2"/>
    <x v="2"/>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rowHeaderCaption="Weeks">
  <location ref="A3:B13" firstHeaderRow="1" firstDataRow="1" firstDataCol="1"/>
  <pivotFields count="10">
    <pivotField numFmtId="14" showAll="0"/>
    <pivotField showAll="0"/>
    <pivotField numFmtId="1" showAll="0"/>
    <pivotField numFmtId="1" showAll="0"/>
    <pivotField numFmtId="1" showAll="0"/>
    <pivotField numFmtId="2" showAll="0"/>
    <pivotField numFmtId="164" showAll="0"/>
    <pivotField axis="axisRow" showAll="0" measureFilter="1" sortType="descending">
      <items count="53">
        <item x="30"/>
        <item x="29"/>
        <item x="28"/>
        <item x="27"/>
        <item x="26"/>
        <item x="25"/>
        <item x="24"/>
        <item x="23"/>
        <item x="22"/>
        <item x="21"/>
        <item x="20"/>
        <item x="19"/>
        <item x="18"/>
        <item x="17"/>
        <item x="16"/>
        <item x="15"/>
        <item x="14"/>
        <item x="13"/>
        <item x="12"/>
        <item x="11"/>
        <item x="10"/>
        <item x="9"/>
        <item x="8"/>
        <item x="7"/>
        <item x="6"/>
        <item x="5"/>
        <item x="4"/>
        <item x="3"/>
        <item x="2"/>
        <item x="1"/>
        <item x="0"/>
        <item x="51"/>
        <item x="50"/>
        <item x="49"/>
        <item x="48"/>
        <item x="47"/>
        <item x="46"/>
        <item x="45"/>
        <item x="44"/>
        <item x="43"/>
        <item x="42"/>
        <item x="41"/>
        <item x="40"/>
        <item x="39"/>
        <item x="38"/>
        <item x="37"/>
        <item x="36"/>
        <item x="35"/>
        <item x="34"/>
        <item x="33"/>
        <item x="32"/>
        <item x="31"/>
        <item t="default"/>
      </items>
    </pivotField>
    <pivotField numFmtId="10" showAll="0"/>
    <pivotField dataField="1" dragToRow="0" dragToCol="0" dragToPage="0" showAll="0" defaultSubtotal="0"/>
  </pivotFields>
  <rowFields count="1">
    <field x="7"/>
  </rowFields>
  <rowItems count="10">
    <i>
      <x v="18"/>
    </i>
    <i>
      <x v="20"/>
    </i>
    <i>
      <x v="22"/>
    </i>
    <i>
      <x v="23"/>
    </i>
    <i>
      <x v="24"/>
    </i>
    <i>
      <x v="25"/>
    </i>
    <i>
      <x v="26"/>
    </i>
    <i>
      <x v="28"/>
    </i>
    <i>
      <x v="29"/>
    </i>
    <i>
      <x v="30"/>
    </i>
  </rowItems>
  <colItems count="1">
    <i/>
  </colItems>
  <dataFields count="1">
    <dataField name="Sum of Net_Gain" fld="9"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Week">
  <location ref="A35:C87" firstHeaderRow="0" firstDataRow="1" firstDataCol="1"/>
  <pivotFields count="10">
    <pivotField numFmtId="1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pivotField numFmtId="1" showAll="0"/>
    <pivotField numFmtId="1" showAll="0"/>
    <pivotField numFmtId="1" showAll="0"/>
    <pivotField numFmtId="2" showAll="0"/>
    <pivotField dataField="1" numFmtId="164" showAll="0"/>
    <pivotField axis="axisRow" showAll="0" sortType="descending">
      <items count="53">
        <item x="30"/>
        <item x="29"/>
        <item x="28"/>
        <item x="27"/>
        <item x="26"/>
        <item x="25"/>
        <item x="24"/>
        <item x="23"/>
        <item x="22"/>
        <item x="21"/>
        <item x="20"/>
        <item x="19"/>
        <item x="18"/>
        <item x="17"/>
        <item x="16"/>
        <item x="15"/>
        <item x="14"/>
        <item x="13"/>
        <item x="12"/>
        <item x="11"/>
        <item x="10"/>
        <item x="9"/>
        <item x="8"/>
        <item x="7"/>
        <item x="6"/>
        <item x="5"/>
        <item x="4"/>
        <item x="3"/>
        <item x="2"/>
        <item x="1"/>
        <item x="0"/>
        <item x="51"/>
        <item x="50"/>
        <item x="49"/>
        <item x="48"/>
        <item x="47"/>
        <item x="46"/>
        <item x="45"/>
        <item x="44"/>
        <item x="43"/>
        <item x="42"/>
        <item x="41"/>
        <item x="40"/>
        <item x="39"/>
        <item x="38"/>
        <item x="37"/>
        <item x="36"/>
        <item x="35"/>
        <item x="34"/>
        <item x="33"/>
        <item x="32"/>
        <item x="31"/>
        <item t="default"/>
      </items>
    </pivotField>
    <pivotField numFmtId="10" showAll="0"/>
    <pivotField dataField="1" dragToRow="0" dragToCol="0" dragToPage="0" showAll="0" defaultSubtotal="0"/>
  </pivotFields>
  <rowFields count="1">
    <field x="7"/>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rowItems>
  <colFields count="1">
    <field x="-2"/>
  </colFields>
  <colItems count="2">
    <i>
      <x/>
    </i>
    <i i="1">
      <x v="1"/>
    </i>
  </colItems>
  <dataFields count="2">
    <dataField name="Sum of Ad_Spend" fld="6" baseField="0" baseItem="0"/>
    <dataField name="Sum of Net_Gain"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rowHeaderCaption="Dates">
  <location ref="A18:B28" firstHeaderRow="1" firstDataRow="1" firstDataCol="1"/>
  <pivotFields count="10">
    <pivotField axis="axisRow" numFmtId="14" showAll="0" measureFilter="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showAll="0"/>
    <pivotField numFmtId="1" showAll="0"/>
    <pivotField numFmtId="1" showAll="0"/>
    <pivotField numFmtId="1" showAll="0"/>
    <pivotField numFmtId="2" showAll="0"/>
    <pivotField numFmtId="164" showAll="0"/>
    <pivotField showAll="0"/>
    <pivotField numFmtId="10" showAll="0"/>
    <pivotField dataField="1" dragToRow="0" dragToCol="0" dragToPage="0" showAll="0" defaultSubtotal="0"/>
  </pivotFields>
  <rowFields count="1">
    <field x="0"/>
  </rowFields>
  <rowItems count="10">
    <i>
      <x/>
    </i>
    <i>
      <x v="2"/>
    </i>
    <i>
      <x v="5"/>
    </i>
    <i>
      <x v="10"/>
    </i>
    <i>
      <x v="17"/>
    </i>
    <i>
      <x v="22"/>
    </i>
    <i>
      <x v="44"/>
    </i>
    <i>
      <x v="45"/>
    </i>
    <i>
      <x v="50"/>
    </i>
    <i>
      <x v="60"/>
    </i>
  </rowItems>
  <colItems count="1">
    <i/>
  </colItems>
  <dataFields count="1">
    <dataField name="Sum of Net_Gain" fld="9"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latforms">
  <location ref="A10:B14" firstHeaderRow="1" firstDataRow="1" firstDataCol="1"/>
  <pivotFields count="9">
    <pivotField showAll="0">
      <items count="5">
        <item x="2"/>
        <item x="3"/>
        <item x="0"/>
        <item x="1"/>
        <item t="default"/>
      </items>
    </pivotField>
    <pivotField showAll="0"/>
    <pivotField showAll="0"/>
    <pivotField showAll="0"/>
    <pivotField dataField="1" numFmtId="164" showAll="0"/>
    <pivotField showAll="0">
      <items count="4">
        <item x="2"/>
        <item x="0"/>
        <item x="1"/>
        <item t="default"/>
      </items>
    </pivotField>
    <pivotField axis="axisRow" showAll="0">
      <items count="4">
        <item x="2"/>
        <item x="1"/>
        <item x="0"/>
        <item t="default"/>
      </items>
    </pivotField>
    <pivotField showAll="0">
      <items count="4">
        <item x="1"/>
        <item x="2"/>
        <item x="0"/>
        <item t="default"/>
      </items>
    </pivotField>
    <pivotField showAll="0">
      <items count="5">
        <item x="3"/>
        <item x="0"/>
        <item x="1"/>
        <item x="2"/>
        <item t="default"/>
      </items>
    </pivotField>
  </pivotFields>
  <rowFields count="1">
    <field x="6"/>
  </rowFields>
  <rowItems count="4">
    <i>
      <x/>
    </i>
    <i>
      <x v="1"/>
    </i>
    <i>
      <x v="2"/>
    </i>
    <i t="grand">
      <x/>
    </i>
  </rowItems>
  <colItems count="1">
    <i/>
  </colItems>
  <dataFields count="1">
    <dataField name="Sum of Total_Budg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Campaign">
  <location ref="A3:G4" firstHeaderRow="0" firstDataRow="1" firstDataCol="1"/>
  <pivotFields count="17">
    <pivotField showAll="0"/>
    <pivotField showAll="0">
      <items count="4">
        <item x="0"/>
        <item x="2"/>
        <item x="1"/>
        <item t="default"/>
      </items>
    </pivotField>
    <pivotField numFmtId="14" showAll="0"/>
    <pivotField showAll="0">
      <items count="4">
        <item x="1"/>
        <item x="2"/>
        <item x="0"/>
        <item t="default"/>
      </items>
    </pivotField>
    <pivotField showAll="0"/>
    <pivotField dataField="1" numFmtId="1" showAll="0"/>
    <pivotField numFmtId="1" showAll="0"/>
    <pivotField numFmtId="1" showAll="0"/>
    <pivotField dataField="1" numFmtId="1" showAll="0"/>
    <pivotField numFmtId="1" showAll="0"/>
    <pivotField dataField="1" numFmtId="1" showAll="0"/>
    <pivotField showAll="0">
      <items count="5">
        <item x="1"/>
        <item x="2"/>
        <item x="3"/>
        <item x="0"/>
        <item t="default"/>
      </items>
    </pivotField>
    <pivotField showAll="0">
      <items count="6">
        <item h="1" x="4"/>
        <item x="0"/>
        <item h="1" x="1"/>
        <item h="1" x="2"/>
        <item h="1" x="3"/>
        <item t="default"/>
      </items>
    </pivotField>
    <pivotField axis="axisRow" showAll="0">
      <items count="5">
        <item x="0"/>
        <item x="2"/>
        <item x="1"/>
        <item x="3"/>
        <item t="default"/>
      </items>
    </pivotField>
    <pivotField showAll="0"/>
    <pivotField numFmtId="10" showAll="0"/>
    <pivotField dragToRow="0" dragToCol="0" dragToPage="0" showAll="0" defaultSubtotal="0"/>
  </pivotFields>
  <rowFields count="1">
    <field x="13"/>
  </rowFields>
  <rowItems count="1">
    <i>
      <x/>
    </i>
  </rowItems>
  <colFields count="1">
    <field x="-2"/>
  </colFields>
  <colItems count="6">
    <i>
      <x/>
    </i>
    <i i="1">
      <x v="1"/>
    </i>
    <i i="2">
      <x v="2"/>
    </i>
    <i i="3">
      <x v="3"/>
    </i>
    <i i="4">
      <x v="4"/>
    </i>
    <i i="5">
      <x v="5"/>
    </i>
  </colItems>
  <dataFields count="6">
    <dataField name="Sum of Impressions" fld="8" baseField="0" baseItem="0"/>
    <dataField name="Average of Impressions2" fld="8" subtotal="average" baseField="13" baseItem="0" numFmtId="1"/>
    <dataField name="Sum of Likes" fld="5" baseField="0" baseItem="0"/>
    <dataField name="Average of Likes2" fld="5" subtotal="average" baseField="13" baseItem="0" numFmtId="1"/>
    <dataField name="Sum of Clicks" fld="10" baseField="0" baseItem="0"/>
    <dataField name="Average of Clicks2" fld="10" subtotal="average" baseField="13" baseItem="0" numFmtId="1"/>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latform">
  <location ref="D30:E33" firstHeaderRow="1" firstDataRow="1" firstDataCol="1"/>
  <pivotFields count="10">
    <pivotField numFmtId="14" showAll="0"/>
    <pivotField axis="axisRow" showAll="0">
      <items count="4">
        <item x="0"/>
        <item x="1"/>
        <item x="2"/>
        <item t="default"/>
      </items>
    </pivotField>
    <pivotField numFmtId="1" showAll="0"/>
    <pivotField numFmtId="1" showAll="0"/>
    <pivotField numFmtId="1" showAll="0"/>
    <pivotField numFmtId="2" showAll="0"/>
    <pivotField dataField="1" numFmtId="164" showAll="0"/>
    <pivotField showAll="0"/>
    <pivotField numFmtId="10" showAll="0"/>
    <pivotField dragToRow="0" dragToCol="0" dragToPage="0" showAll="0" defaultSubtotal="0"/>
  </pivotFields>
  <rowFields count="1">
    <field x="1"/>
  </rowFields>
  <rowItems count="3">
    <i>
      <x/>
    </i>
    <i>
      <x v="1"/>
    </i>
    <i>
      <x v="2"/>
    </i>
  </rowItems>
  <colItems count="1">
    <i/>
  </colItems>
  <dataFields count="1">
    <dataField name="Sum of Ad_Spen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rowHeaderCaption="Platform">
  <location ref="A30:B32" firstHeaderRow="1" firstDataRow="1" firstDataCol="1"/>
  <pivotFields count="17">
    <pivotField showAll="0"/>
    <pivotField axis="axisRow"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numFmtId="10" showAll="0"/>
    <pivotField dataField="1" dragToRow="0" dragToCol="0" dragToPage="0" showAll="0" defaultSubtotal="0"/>
  </pivotFields>
  <rowFields count="1">
    <field x="1"/>
  </rowFields>
  <rowItems count="2">
    <i>
      <x/>
    </i>
    <i>
      <x v="1"/>
    </i>
  </rowItems>
  <colItems count="1">
    <i/>
  </colItems>
  <dataFields count="1">
    <dataField name="Sum of Total Engagement" fld="16" baseField="0" baseItem="0" numFmtId="1"/>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ampaign">
  <location ref="A17:B19" firstHeaderRow="1" firstDataRow="1" firstDataCol="1"/>
  <pivotFields count="17">
    <pivotField showAll="0"/>
    <pivotField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showAll="0">
      <items count="5">
        <item x="1"/>
        <item x="2"/>
        <item x="3"/>
        <item x="0"/>
        <item t="default"/>
      </items>
    </pivotField>
    <pivotField showAll="0">
      <items count="6">
        <item h="1" x="4"/>
        <item x="0"/>
        <item h="1" x="1"/>
        <item h="1" x="2"/>
        <item h="1" x="3"/>
        <item t="default"/>
      </items>
    </pivotField>
    <pivotField axis="axisRow" showAll="0">
      <items count="5">
        <item x="0"/>
        <item x="2"/>
        <item x="1"/>
        <item x="3"/>
        <item t="default"/>
      </items>
    </pivotField>
    <pivotField showAll="0"/>
    <pivotField dataField="1" numFmtId="10" showAll="0"/>
    <pivotField dragToRow="0" dragToCol="0" dragToPage="0" showAll="0" defaultSubtotal="0"/>
  </pivotFields>
  <rowFields count="1">
    <field x="13"/>
  </rowFields>
  <rowItems count="2">
    <i>
      <x/>
    </i>
    <i t="grand">
      <x/>
    </i>
  </rowItems>
  <colItems count="1">
    <i/>
  </colItems>
  <dataFields count="1">
    <dataField name="Average of Engagement rate " fld="15" subtotal="average" baseField="13"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rowHeaderCaption="Platform">
  <location ref="A19:C22" firstHeaderRow="1" firstDataRow="2" firstDataCol="1"/>
  <pivotFields count="17">
    <pivotField showAll="0"/>
    <pivotField axis="axisRow" showAll="0">
      <items count="4">
        <item x="0"/>
        <item x="2"/>
        <item x="1"/>
        <item t="default"/>
      </items>
    </pivotField>
    <pivotField numFmtId="14" showAll="0"/>
    <pivotField axis="axisCol" showAll="0">
      <items count="4">
        <item sd="0" x="1"/>
        <item x="2"/>
        <item x="0"/>
        <item t="default"/>
      </items>
    </pivotField>
    <pivotField showAll="0"/>
    <pivotField numFmtId="1" showAll="0"/>
    <pivotField numFmtId="1" showAll="0"/>
    <pivotField numFmtId="1" showAll="0"/>
    <pivotField numFmtId="1" showAll="0"/>
    <pivotField numFmtId="1" showAll="0"/>
    <pivotField numFmtId="1" showAll="0"/>
    <pivotField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dataField="1" numFmtId="10" showAll="0"/>
    <pivotField dragToRow="0" dragToCol="0" dragToPage="0" showAll="0" defaultSubtotal="0"/>
  </pivotFields>
  <rowFields count="1">
    <field x="1"/>
  </rowFields>
  <rowItems count="2">
    <i>
      <x/>
    </i>
    <i>
      <x v="1"/>
    </i>
  </rowItems>
  <colFields count="1">
    <field x="3"/>
  </colFields>
  <colItems count="2">
    <i>
      <x v="1"/>
    </i>
    <i>
      <x v="2"/>
    </i>
  </colItems>
  <dataFields count="1">
    <dataField name="Average of Engagement rate " fld="15" subtotal="average" baseField="1" baseItem="0" numFmtId="1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rowHeaderCaption="Hashtags Split">
  <location ref="A10:C11" firstHeaderRow="0" firstDataRow="1" firstDataCol="1"/>
  <pivotFields count="17">
    <pivotField showAll="0"/>
    <pivotField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showAll="0">
      <items count="5">
        <item x="1"/>
        <item x="2"/>
        <item x="3"/>
        <item x="0"/>
        <item t="default"/>
      </items>
    </pivotField>
    <pivotField axis="axisRow" dataField="1" showAll="0">
      <items count="6">
        <item h="1" x="4"/>
        <item x="0"/>
        <item h="1" x="1"/>
        <item h="1" x="2"/>
        <item h="1" x="3"/>
        <item t="default"/>
      </items>
    </pivotField>
    <pivotField showAll="0">
      <items count="5">
        <item x="0"/>
        <item x="2"/>
        <item x="1"/>
        <item x="3"/>
        <item t="default"/>
      </items>
    </pivotField>
    <pivotField showAll="0"/>
    <pivotField numFmtId="10" showAll="0"/>
    <pivotField dataField="1" dragToRow="0" dragToCol="0" dragToPage="0" showAll="0" defaultSubtotal="0"/>
  </pivotFields>
  <rowFields count="1">
    <field x="12"/>
  </rowFields>
  <rowItems count="1">
    <i>
      <x v="1"/>
    </i>
  </rowItems>
  <colFields count="1">
    <field x="-2"/>
  </colFields>
  <colItems count="2">
    <i>
      <x/>
    </i>
    <i i="1">
      <x v="1"/>
    </i>
  </colItems>
  <dataFields count="2">
    <dataField name="Count of Hashtags Split" fld="12" subtotal="count" baseField="0" baseItem="0"/>
    <dataField name="Average of Total Engagement" fld="16" subtotal="average" baseField="12"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rowHeaderCaption="Hashtags Used">
  <location ref="A3:C5" firstHeaderRow="0" firstDataRow="1" firstDataCol="1"/>
  <pivotFields count="17">
    <pivotField showAll="0"/>
    <pivotField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axis="axisRow" dataField="1"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numFmtId="10" showAll="0"/>
    <pivotField dataField="1" dragToRow="0" dragToCol="0" dragToPage="0" showAll="0" defaultSubtotal="0"/>
  </pivotFields>
  <rowFields count="1">
    <field x="11"/>
  </rowFields>
  <rowItems count="2">
    <i>
      <x v="1"/>
    </i>
    <i>
      <x v="3"/>
    </i>
  </rowItems>
  <colFields count="1">
    <field x="-2"/>
  </colFields>
  <colItems count="2">
    <i>
      <x/>
    </i>
    <i i="1">
      <x v="1"/>
    </i>
  </colItems>
  <dataFields count="2">
    <dataField name="Count of Hashtags Used" fld="11" subtotal="count" baseField="0" baseItem="0"/>
    <dataField name="Average of Total Engagement" fld="16" subtotal="average" baseField="11"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rowHeaderCaption="Platform">
  <location ref="A89:B91" firstHeaderRow="1" firstDataRow="1" firstDataCol="1"/>
  <pivotFields count="17">
    <pivotField showAll="0"/>
    <pivotField axis="axisRow"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dataField="1" numFmtId="10" showAll="0"/>
    <pivotField dragToRow="0" dragToCol="0" dragToPage="0" showAll="0" defaultSubtotal="0"/>
  </pivotFields>
  <rowFields count="1">
    <field x="1"/>
  </rowFields>
  <rowItems count="2">
    <i>
      <x/>
    </i>
    <i>
      <x v="1"/>
    </i>
  </rowItems>
  <colItems count="1">
    <i/>
  </colItems>
  <dataFields count="1">
    <dataField name="Average of Engagement rate " fld="15" subtotal="average" baseField="1"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rowHeaderCaption="Platform">
  <location ref="A3:B5" firstHeaderRow="1" firstDataRow="1" firstDataCol="1"/>
  <pivotFields count="17">
    <pivotField showAll="0"/>
    <pivotField axis="axisRow"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numFmtId="1" showAll="0"/>
    <pivotField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dataField="1" numFmtId="10" showAll="0"/>
    <pivotField dragToRow="0" dragToCol="0" dragToPage="0" showAll="0" defaultSubtotal="0"/>
  </pivotFields>
  <rowFields count="1">
    <field x="1"/>
  </rowFields>
  <rowItems count="2">
    <i>
      <x/>
    </i>
    <i>
      <x v="1"/>
    </i>
  </rowItems>
  <colItems count="1">
    <i/>
  </colItems>
  <dataFields count="1">
    <dataField name="Average of Engagement rate " fld="15" subtotal="average" baseField="1"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rowHeaderCaption="Platform">
  <location ref="A83:B86" firstHeaderRow="1" firstDataRow="1" firstDataCol="1"/>
  <pivotFields count="10">
    <pivotField numFmtId="14" showAll="0"/>
    <pivotField axis="axisRow" showAll="0">
      <items count="4">
        <item x="0"/>
        <item x="1"/>
        <item x="2"/>
        <item t="default"/>
      </items>
    </pivotField>
    <pivotField numFmtId="1" showAll="0"/>
    <pivotField numFmtId="1" showAll="0"/>
    <pivotField numFmtId="1" showAll="0"/>
    <pivotField numFmtId="2" showAll="0"/>
    <pivotField dataField="1" numFmtId="164" showAll="0">
      <items count="199">
        <item x="192"/>
        <item x="103"/>
        <item x="181"/>
        <item x="144"/>
        <item x="184"/>
        <item x="30"/>
        <item x="29"/>
        <item x="100"/>
        <item x="72"/>
        <item x="88"/>
        <item x="98"/>
        <item x="33"/>
        <item x="109"/>
        <item x="113"/>
        <item x="77"/>
        <item x="118"/>
        <item x="105"/>
        <item x="97"/>
        <item x="123"/>
        <item x="172"/>
        <item x="79"/>
        <item x="21"/>
        <item x="2"/>
        <item x="152"/>
        <item x="196"/>
        <item x="128"/>
        <item x="162"/>
        <item x="32"/>
        <item x="125"/>
        <item x="76"/>
        <item x="74"/>
        <item x="70"/>
        <item x="42"/>
        <item x="93"/>
        <item x="58"/>
        <item x="45"/>
        <item x="102"/>
        <item x="24"/>
        <item x="132"/>
        <item x="49"/>
        <item x="31"/>
        <item x="138"/>
        <item x="126"/>
        <item x="20"/>
        <item x="90"/>
        <item x="163"/>
        <item x="180"/>
        <item x="68"/>
        <item x="56"/>
        <item x="142"/>
        <item x="101"/>
        <item x="108"/>
        <item x="51"/>
        <item x="197"/>
        <item x="26"/>
        <item x="175"/>
        <item x="191"/>
        <item x="15"/>
        <item x="157"/>
        <item x="141"/>
        <item x="120"/>
        <item x="3"/>
        <item x="94"/>
        <item x="155"/>
        <item x="52"/>
        <item x="171"/>
        <item x="54"/>
        <item x="14"/>
        <item x="176"/>
        <item x="18"/>
        <item x="6"/>
        <item x="10"/>
        <item x="158"/>
        <item x="170"/>
        <item x="148"/>
        <item x="85"/>
        <item x="160"/>
        <item x="173"/>
        <item x="159"/>
        <item x="38"/>
        <item x="194"/>
        <item x="89"/>
        <item x="95"/>
        <item x="193"/>
        <item x="25"/>
        <item x="130"/>
        <item x="146"/>
        <item x="115"/>
        <item x="150"/>
        <item x="59"/>
        <item x="61"/>
        <item x="39"/>
        <item x="92"/>
        <item x="16"/>
        <item x="186"/>
        <item x="7"/>
        <item x="168"/>
        <item x="80"/>
        <item x="161"/>
        <item x="66"/>
        <item x="96"/>
        <item x="111"/>
        <item x="82"/>
        <item x="156"/>
        <item x="189"/>
        <item x="22"/>
        <item x="27"/>
        <item x="145"/>
        <item x="153"/>
        <item x="169"/>
        <item x="17"/>
        <item x="174"/>
        <item x="40"/>
        <item x="44"/>
        <item x="62"/>
        <item x="188"/>
        <item x="185"/>
        <item x="84"/>
        <item x="71"/>
        <item x="55"/>
        <item x="43"/>
        <item x="35"/>
        <item x="183"/>
        <item x="131"/>
        <item x="57"/>
        <item x="116"/>
        <item x="83"/>
        <item x="149"/>
        <item x="129"/>
        <item x="12"/>
        <item x="195"/>
        <item x="91"/>
        <item x="164"/>
        <item x="187"/>
        <item x="46"/>
        <item x="75"/>
        <item x="124"/>
        <item x="110"/>
        <item x="154"/>
        <item x="86"/>
        <item x="13"/>
        <item x="47"/>
        <item x="60"/>
        <item x="178"/>
        <item x="133"/>
        <item x="121"/>
        <item x="5"/>
        <item x="190"/>
        <item x="134"/>
        <item x="112"/>
        <item x="104"/>
        <item x="119"/>
        <item x="11"/>
        <item x="9"/>
        <item x="1"/>
        <item x="0"/>
        <item x="78"/>
        <item x="87"/>
        <item x="136"/>
        <item x="28"/>
        <item x="50"/>
        <item x="106"/>
        <item x="53"/>
        <item x="41"/>
        <item x="23"/>
        <item x="140"/>
        <item x="114"/>
        <item x="65"/>
        <item x="69"/>
        <item x="8"/>
        <item x="182"/>
        <item x="63"/>
        <item x="117"/>
        <item x="139"/>
        <item x="99"/>
        <item x="73"/>
        <item x="107"/>
        <item x="64"/>
        <item x="122"/>
        <item x="81"/>
        <item x="19"/>
        <item x="165"/>
        <item x="147"/>
        <item x="67"/>
        <item x="4"/>
        <item x="143"/>
        <item x="127"/>
        <item x="36"/>
        <item x="37"/>
        <item x="166"/>
        <item x="48"/>
        <item x="179"/>
        <item x="137"/>
        <item x="167"/>
        <item x="135"/>
        <item x="151"/>
        <item x="177"/>
        <item x="34"/>
        <item t="default"/>
      </items>
    </pivotField>
    <pivotField showAll="0"/>
    <pivotField numFmtId="10" showAll="0"/>
    <pivotField dragToRow="0" dragToCol="0" dragToPage="0" showAll="0" defaultSubtotal="0"/>
  </pivotFields>
  <rowFields count="1">
    <field x="1"/>
  </rowFields>
  <rowItems count="3">
    <i>
      <x/>
    </i>
    <i>
      <x v="1"/>
    </i>
    <i>
      <x v="2"/>
    </i>
  </rowItems>
  <colItems count="1">
    <i/>
  </colItems>
  <dataFields count="1">
    <dataField name="Average of Ad_Spend" fld="6" subtotal="average" baseField="1" baseItem="0" numFmtId="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rowHeaderCaption="Week date">
  <location ref="A10:D78" firstHeaderRow="1" firstDataRow="2" firstDataCol="1"/>
  <pivotFields count="10">
    <pivotField axis="axisRow" numFmtId="14" showAll="0" sortType="descending">
      <items count="68">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sd="0" x="0"/>
        <item sd="0" x="1"/>
        <item sd="0" x="2"/>
        <item t="default"/>
      </items>
    </pivotField>
    <pivotField numFmtId="1" showAll="0"/>
    <pivotField numFmtId="1" showAll="0"/>
    <pivotField numFmtId="1" showAll="0"/>
    <pivotField numFmtId="2" showAll="0"/>
    <pivotField numFmtId="164" showAll="0"/>
    <pivotField showAll="0"/>
    <pivotField dataField="1" numFmtId="10" showAll="0"/>
    <pivotField dragToRow="0" dragToCol="0" dragToPage="0" showAll="0" defaultSubtotal="0"/>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rowItems>
  <colFields count="1">
    <field x="1"/>
  </colFields>
  <colItems count="3">
    <i>
      <x/>
    </i>
    <i>
      <x v="1"/>
    </i>
    <i>
      <x v="2"/>
    </i>
  </colItems>
  <dataFields count="1">
    <dataField name="Average of Growth_Rate" fld="8" subtotal="average" baseField="0"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rowHeaderCaption="Content type &amp; Platform">
  <location ref="A17:D21" firstHeaderRow="0" firstDataRow="1" firstDataCol="1"/>
  <pivotFields count="17">
    <pivotField showAll="0"/>
    <pivotField axis="axisRow" showAll="0">
      <items count="4">
        <item x="0"/>
        <item x="2"/>
        <item x="1"/>
        <item t="default"/>
      </items>
    </pivotField>
    <pivotField numFmtId="14" showAll="0"/>
    <pivotField axis="axisRow" showAll="0">
      <items count="4">
        <item x="1"/>
        <item x="2"/>
        <item x="0"/>
        <item t="default"/>
      </items>
    </pivotField>
    <pivotField showAll="0"/>
    <pivotField dataField="1" numFmtId="1" showAll="0"/>
    <pivotField dataField="1" numFmtId="1" showAll="0"/>
    <pivotField dataField="1" numFmtId="1" showAll="0"/>
    <pivotField numFmtId="1" showAll="0"/>
    <pivotField numFmtId="1" showAll="0"/>
    <pivotField numFmtId="1" showAll="0"/>
    <pivotField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numFmtId="10" showAll="0"/>
    <pivotField dragToRow="0" dragToCol="0" dragToPage="0" showAll="0" defaultSubtotal="0"/>
  </pivotFields>
  <rowFields count="2">
    <field x="1"/>
    <field x="3"/>
  </rowFields>
  <rowItems count="4">
    <i>
      <x/>
    </i>
    <i r="1">
      <x v="2"/>
    </i>
    <i>
      <x v="1"/>
    </i>
    <i r="1">
      <x v="1"/>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rowHeaderCaption="Posts">
  <location ref="A3:B13" firstHeaderRow="1" firstDataRow="1" firstDataCol="1"/>
  <pivotFields count="17">
    <pivotField showAll="0" measureFilter="1">
      <items count="300">
        <item x="130"/>
        <item x="35"/>
        <item x="281"/>
        <item x="282"/>
        <item x="97"/>
        <item x="169"/>
        <item x="292"/>
        <item x="131"/>
        <item x="283"/>
        <item x="69"/>
        <item x="142"/>
        <item x="177"/>
        <item x="245"/>
        <item x="132"/>
        <item x="297"/>
        <item x="170"/>
        <item x="36"/>
        <item x="171"/>
        <item x="193"/>
        <item x="260"/>
        <item x="178"/>
        <item x="172"/>
        <item x="253"/>
        <item x="246"/>
        <item x="143"/>
        <item x="277"/>
        <item x="70"/>
        <item x="82"/>
        <item x="118"/>
        <item x="0"/>
        <item x="133"/>
        <item x="247"/>
        <item x="5"/>
        <item x="134"/>
        <item x="123"/>
        <item x="154"/>
        <item x="233"/>
        <item x="278"/>
        <item x="173"/>
        <item x="109"/>
        <item x="37"/>
        <item x="52"/>
        <item x="227"/>
        <item x="203"/>
        <item x="53"/>
        <item x="78"/>
        <item x="44"/>
        <item x="222"/>
        <item x="119"/>
        <item x="144"/>
        <item x="228"/>
        <item x="217"/>
        <item x="71"/>
        <item x="135"/>
        <item x="57"/>
        <item x="6"/>
        <item x="204"/>
        <item x="213"/>
        <item x="110"/>
        <item x="1"/>
        <item x="261"/>
        <item x="197"/>
        <item x="25"/>
        <item x="155"/>
        <item x="111"/>
        <item x="98"/>
        <item x="93"/>
        <item x="293"/>
        <item x="7"/>
        <item x="8"/>
        <item x="248"/>
        <item x="136"/>
        <item x="151"/>
        <item x="26"/>
        <item x="205"/>
        <item x="156"/>
        <item x="27"/>
        <item x="9"/>
        <item x="179"/>
        <item x="72"/>
        <item x="223"/>
        <item x="2"/>
        <item x="212"/>
        <item x="220"/>
        <item x="145"/>
        <item x="120"/>
        <item x="58"/>
        <item x="284"/>
        <item x="209"/>
        <item x="124"/>
        <item x="94"/>
        <item x="68"/>
        <item x="266"/>
        <item x="83"/>
        <item x="79"/>
        <item x="28"/>
        <item x="80"/>
        <item x="254"/>
        <item x="210"/>
        <item x="249"/>
        <item x="256"/>
        <item x="54"/>
        <item x="125"/>
        <item x="236"/>
        <item x="29"/>
        <item x="16"/>
        <item x="229"/>
        <item x="272"/>
        <item x="188"/>
        <item x="206"/>
        <item x="59"/>
        <item x="234"/>
        <item x="207"/>
        <item x="112"/>
        <item x="137"/>
        <item x="60"/>
        <item x="146"/>
        <item x="157"/>
        <item x="17"/>
        <item x="126"/>
        <item x="61"/>
        <item x="147"/>
        <item x="138"/>
        <item x="262"/>
        <item x="3"/>
        <item x="38"/>
        <item x="62"/>
        <item x="194"/>
        <item x="10"/>
        <item x="84"/>
        <item x="240"/>
        <item x="30"/>
        <item x="148"/>
        <item x="243"/>
        <item x="273"/>
        <item x="99"/>
        <item x="279"/>
        <item x="81"/>
        <item x="224"/>
        <item x="244"/>
        <item x="294"/>
        <item x="180"/>
        <item x="55"/>
        <item x="158"/>
        <item x="152"/>
        <item x="31"/>
        <item x="45"/>
        <item x="113"/>
        <item x="159"/>
        <item x="218"/>
        <item x="241"/>
        <item x="174"/>
        <item x="274"/>
        <item x="121"/>
        <item x="230"/>
        <item x="73"/>
        <item x="85"/>
        <item x="106"/>
        <item x="46"/>
        <item x="160"/>
        <item x="267"/>
        <item x="214"/>
        <item x="189"/>
        <item x="139"/>
        <item x="100"/>
        <item x="39"/>
        <item x="101"/>
        <item x="4"/>
        <item x="275"/>
        <item x="231"/>
        <item x="114"/>
        <item x="165"/>
        <item x="102"/>
        <item x="103"/>
        <item x="195"/>
        <item x="268"/>
        <item x="286"/>
        <item x="276"/>
        <item x="127"/>
        <item x="86"/>
        <item x="87"/>
        <item x="211"/>
        <item x="198"/>
        <item x="122"/>
        <item x="181"/>
        <item x="153"/>
        <item x="166"/>
        <item x="63"/>
        <item x="18"/>
        <item x="64"/>
        <item x="237"/>
        <item x="167"/>
        <item x="140"/>
        <item x="19"/>
        <item x="20"/>
        <item x="287"/>
        <item x="40"/>
        <item x="199"/>
        <item x="88"/>
        <item x="235"/>
        <item x="11"/>
        <item x="250"/>
        <item x="298"/>
        <item x="115"/>
        <item x="221"/>
        <item x="104"/>
        <item x="107"/>
        <item x="208"/>
        <item x="128"/>
        <item x="116"/>
        <item x="182"/>
        <item x="190"/>
        <item x="251"/>
        <item x="21"/>
        <item x="22"/>
        <item x="161"/>
        <item x="255"/>
        <item x="47"/>
        <item x="288"/>
        <item x="141"/>
        <item x="183"/>
        <item x="184"/>
        <item x="289"/>
        <item x="41"/>
        <item x="23"/>
        <item x="89"/>
        <item x="162"/>
        <item x="65"/>
        <item x="149"/>
        <item x="95"/>
        <item x="74"/>
        <item x="257"/>
        <item x="42"/>
        <item x="232"/>
        <item x="295"/>
        <item x="24"/>
        <item x="185"/>
        <item x="290"/>
        <item x="225"/>
        <item x="238"/>
        <item x="108"/>
        <item x="291"/>
        <item x="175"/>
        <item x="12"/>
        <item x="200"/>
        <item x="239"/>
        <item x="176"/>
        <item x="75"/>
        <item x="150"/>
        <item x="201"/>
        <item x="258"/>
        <item x="215"/>
        <item x="48"/>
        <item x="105"/>
        <item x="202"/>
        <item x="168"/>
        <item x="90"/>
        <item x="32"/>
        <item x="13"/>
        <item x="269"/>
        <item x="280"/>
        <item x="96"/>
        <item x="163"/>
        <item x="186"/>
        <item x="164"/>
        <item x="263"/>
        <item x="91"/>
        <item x="187"/>
        <item x="270"/>
        <item x="49"/>
        <item x="264"/>
        <item x="56"/>
        <item x="252"/>
        <item x="66"/>
        <item x="76"/>
        <item x="50"/>
        <item x="285"/>
        <item x="33"/>
        <item x="242"/>
        <item x="14"/>
        <item x="67"/>
        <item x="226"/>
        <item x="259"/>
        <item x="43"/>
        <item x="129"/>
        <item x="191"/>
        <item x="216"/>
        <item x="34"/>
        <item x="219"/>
        <item x="192"/>
        <item x="265"/>
        <item x="117"/>
        <item x="296"/>
        <item x="77"/>
        <item x="92"/>
        <item x="271"/>
        <item x="196"/>
        <item x="15"/>
        <item x="51"/>
        <item t="default"/>
      </items>
    </pivotField>
    <pivotField showAll="0">
      <items count="4">
        <item x="0"/>
        <item x="2"/>
        <item x="1"/>
        <item t="default"/>
      </items>
    </pivotField>
    <pivotField numFmtId="14" showAll="0"/>
    <pivotField showAll="0">
      <items count="4">
        <item x="1"/>
        <item x="2"/>
        <item x="0"/>
        <item t="default"/>
      </items>
    </pivotField>
    <pivotField axis="axisRow" showAll="0">
      <items count="11">
        <item x="9"/>
        <item x="1"/>
        <item x="8"/>
        <item x="2"/>
        <item x="7"/>
        <item x="0"/>
        <item x="4"/>
        <item x="3"/>
        <item x="5"/>
        <item x="6"/>
        <item t="default"/>
      </items>
    </pivotField>
    <pivotField numFmtId="1" showAll="0"/>
    <pivotField numFmtId="1" showAll="0"/>
    <pivotField numFmtId="1" showAll="0"/>
    <pivotField numFmtId="1" showAll="0"/>
    <pivotField numFmtId="1" showAll="0"/>
    <pivotField numFmtId="1" showAll="0"/>
    <pivotField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dataField="1" numFmtId="10" showAll="0">
      <items count="300">
        <item x="213"/>
        <item x="279"/>
        <item x="10"/>
        <item x="184"/>
        <item x="116"/>
        <item x="162"/>
        <item x="296"/>
        <item x="270"/>
        <item x="90"/>
        <item x="128"/>
        <item x="43"/>
        <item x="38"/>
        <item x="60"/>
        <item x="40"/>
        <item x="189"/>
        <item x="155"/>
        <item x="287"/>
        <item x="61"/>
        <item x="197"/>
        <item x="230"/>
        <item x="233"/>
        <item x="107"/>
        <item x="234"/>
        <item x="278"/>
        <item x="227"/>
        <item x="182"/>
        <item x="151"/>
        <item x="146"/>
        <item x="86"/>
        <item x="260"/>
        <item x="261"/>
        <item x="201"/>
        <item x="5"/>
        <item x="145"/>
        <item x="117"/>
        <item x="88"/>
        <item x="47"/>
        <item x="293"/>
        <item x="17"/>
        <item x="170"/>
        <item x="30"/>
        <item x="135"/>
        <item x="238"/>
        <item x="149"/>
        <item x="137"/>
        <item x="46"/>
        <item x="215"/>
        <item x="207"/>
        <item x="26"/>
        <item x="143"/>
        <item x="20"/>
        <item x="264"/>
        <item x="22"/>
        <item x="136"/>
        <item x="202"/>
        <item x="23"/>
        <item x="41"/>
        <item x="59"/>
        <item x="185"/>
        <item x="142"/>
        <item x="96"/>
        <item x="67"/>
        <item x="84"/>
        <item x="252"/>
        <item x="163"/>
        <item x="15"/>
        <item x="140"/>
        <item x="103"/>
        <item x="105"/>
        <item x="76"/>
        <item x="157"/>
        <item x="192"/>
        <item x="217"/>
        <item x="147"/>
        <item x="223"/>
        <item x="274"/>
        <item x="271"/>
        <item x="220"/>
        <item x="55"/>
        <item x="196"/>
        <item x="120"/>
        <item x="263"/>
        <item x="236"/>
        <item x="198"/>
        <item x="235"/>
        <item x="123"/>
        <item x="68"/>
        <item x="171"/>
        <item x="232"/>
        <item x="167"/>
        <item x="56"/>
        <item x="285"/>
        <item x="54"/>
        <item x="95"/>
        <item x="269"/>
        <item x="254"/>
        <item x="218"/>
        <item x="82"/>
        <item x="281"/>
        <item x="244"/>
        <item x="3"/>
        <item x="276"/>
        <item x="104"/>
        <item x="239"/>
        <item x="31"/>
        <item x="87"/>
        <item x="179"/>
        <item x="91"/>
        <item x="286"/>
        <item x="177"/>
        <item x="169"/>
        <item x="148"/>
        <item x="32"/>
        <item x="133"/>
        <item x="205"/>
        <item x="208"/>
        <item x="115"/>
        <item x="127"/>
        <item x="124"/>
        <item x="94"/>
        <item x="221"/>
        <item x="194"/>
        <item x="172"/>
        <item x="288"/>
        <item x="0"/>
        <item x="257"/>
        <item x="246"/>
        <item x="113"/>
        <item x="152"/>
        <item x="248"/>
        <item x="295"/>
        <item x="70"/>
        <item x="174"/>
        <item x="250"/>
        <item x="21"/>
        <item x="249"/>
        <item x="106"/>
        <item x="13"/>
        <item x="50"/>
        <item x="259"/>
        <item x="195"/>
        <item x="69"/>
        <item x="4"/>
        <item x="191"/>
        <item x="245"/>
        <item x="138"/>
        <item x="168"/>
        <item x="122"/>
        <item x="226"/>
        <item x="175"/>
        <item x="16"/>
        <item x="183"/>
        <item x="112"/>
        <item x="224"/>
        <item x="35"/>
        <item x="131"/>
        <item x="1"/>
        <item x="72"/>
        <item x="204"/>
        <item x="125"/>
        <item x="237"/>
        <item x="111"/>
        <item x="186"/>
        <item x="65"/>
        <item x="25"/>
        <item x="100"/>
        <item x="241"/>
        <item x="240"/>
        <item x="180"/>
        <item x="12"/>
        <item x="187"/>
        <item x="37"/>
        <item x="297"/>
        <item x="126"/>
        <item x="66"/>
        <item x="18"/>
        <item x="51"/>
        <item x="161"/>
        <item x="80"/>
        <item x="159"/>
        <item x="71"/>
        <item x="156"/>
        <item x="243"/>
        <item x="134"/>
        <item x="298"/>
        <item x="231"/>
        <item x="78"/>
        <item x="291"/>
        <item x="166"/>
        <item x="14"/>
        <item x="284"/>
        <item x="165"/>
        <item x="210"/>
        <item x="101"/>
        <item x="64"/>
        <item x="144"/>
        <item x="102"/>
        <item x="34"/>
        <item x="118"/>
        <item x="121"/>
        <item x="62"/>
        <item x="216"/>
        <item x="225"/>
        <item x="28"/>
        <item x="6"/>
        <item x="139"/>
        <item x="7"/>
        <item x="45"/>
        <item x="19"/>
        <item x="258"/>
        <item x="154"/>
        <item x="11"/>
        <item x="109"/>
        <item x="222"/>
        <item x="229"/>
        <item x="74"/>
        <item x="253"/>
        <item x="262"/>
        <item x="214"/>
        <item x="77"/>
        <item x="110"/>
        <item x="289"/>
        <item x="242"/>
        <item x="267"/>
        <item x="132"/>
        <item x="63"/>
        <item x="277"/>
        <item x="129"/>
        <item x="158"/>
        <item x="203"/>
        <item x="81"/>
        <item x="164"/>
        <item x="294"/>
        <item x="52"/>
        <item x="92"/>
        <item x="282"/>
        <item x="280"/>
        <item x="89"/>
        <item x="255"/>
        <item x="251"/>
        <item x="141"/>
        <item x="153"/>
        <item x="265"/>
        <item x="283"/>
        <item x="24"/>
        <item x="97"/>
        <item x="130"/>
        <item x="108"/>
        <item x="27"/>
        <item x="79"/>
        <item x="272"/>
        <item x="57"/>
        <item x="199"/>
        <item x="36"/>
        <item x="83"/>
        <item x="9"/>
        <item x="266"/>
        <item x="173"/>
        <item x="256"/>
        <item x="53"/>
        <item x="75"/>
        <item x="2"/>
        <item x="49"/>
        <item x="228"/>
        <item x="193"/>
        <item x="48"/>
        <item x="275"/>
        <item x="160"/>
        <item x="219"/>
        <item x="44"/>
        <item x="188"/>
        <item x="8"/>
        <item x="85"/>
        <item x="39"/>
        <item x="247"/>
        <item x="212"/>
        <item x="114"/>
        <item x="200"/>
        <item x="99"/>
        <item x="206"/>
        <item x="211"/>
        <item x="42"/>
        <item x="290"/>
        <item x="268"/>
        <item x="209"/>
        <item x="98"/>
        <item x="150"/>
        <item x="190"/>
        <item x="58"/>
        <item x="93"/>
        <item x="273"/>
        <item x="176"/>
        <item x="73"/>
        <item x="178"/>
        <item x="119"/>
        <item x="33"/>
        <item x="181"/>
        <item x="29"/>
        <item x="292"/>
        <item t="default"/>
      </items>
    </pivotField>
    <pivotField dragToRow="0" dragToCol="0" dragToPage="0" showAll="0" defaultSubtotal="0"/>
  </pivotFields>
  <rowFields count="1">
    <field x="4"/>
  </rowFields>
  <rowItems count="10">
    <i>
      <x/>
    </i>
    <i>
      <x v="1"/>
    </i>
    <i>
      <x v="2"/>
    </i>
    <i>
      <x v="3"/>
    </i>
    <i>
      <x v="4"/>
    </i>
    <i>
      <x v="5"/>
    </i>
    <i>
      <x v="6"/>
    </i>
    <i>
      <x v="7"/>
    </i>
    <i>
      <x v="8"/>
    </i>
    <i>
      <x v="9"/>
    </i>
  </rowItems>
  <colItems count="1">
    <i/>
  </colItems>
  <dataFields count="1">
    <dataField name="Average of Engagement rate " fld="15" subtotal="average" baseField="4"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Hashtags used">
  <location ref="A37:B39" firstHeaderRow="1" firstDataRow="1" firstDataCol="1"/>
  <pivotFields count="17">
    <pivotField showAll="0">
      <items count="300">
        <item x="130"/>
        <item x="35"/>
        <item x="281"/>
        <item x="282"/>
        <item x="97"/>
        <item x="169"/>
        <item x="292"/>
        <item x="131"/>
        <item x="283"/>
        <item x="69"/>
        <item x="142"/>
        <item x="177"/>
        <item x="245"/>
        <item x="132"/>
        <item x="297"/>
        <item x="170"/>
        <item x="36"/>
        <item x="171"/>
        <item x="193"/>
        <item x="260"/>
        <item x="178"/>
        <item x="172"/>
        <item x="253"/>
        <item x="246"/>
        <item x="143"/>
        <item x="277"/>
        <item x="70"/>
        <item x="82"/>
        <item x="118"/>
        <item x="0"/>
        <item x="133"/>
        <item x="247"/>
        <item x="5"/>
        <item x="134"/>
        <item x="123"/>
        <item x="154"/>
        <item x="233"/>
        <item x="278"/>
        <item x="173"/>
        <item x="109"/>
        <item x="37"/>
        <item x="52"/>
        <item x="227"/>
        <item x="203"/>
        <item x="53"/>
        <item x="78"/>
        <item x="44"/>
        <item x="222"/>
        <item x="119"/>
        <item x="144"/>
        <item x="228"/>
        <item x="217"/>
        <item x="71"/>
        <item x="135"/>
        <item x="57"/>
        <item x="6"/>
        <item x="204"/>
        <item x="213"/>
        <item x="110"/>
        <item x="1"/>
        <item x="261"/>
        <item x="197"/>
        <item x="25"/>
        <item x="155"/>
        <item x="111"/>
        <item x="98"/>
        <item x="93"/>
        <item x="293"/>
        <item x="7"/>
        <item x="8"/>
        <item x="248"/>
        <item x="136"/>
        <item x="151"/>
        <item x="26"/>
        <item x="205"/>
        <item x="156"/>
        <item x="27"/>
        <item x="9"/>
        <item x="179"/>
        <item x="72"/>
        <item x="223"/>
        <item x="2"/>
        <item x="212"/>
        <item x="220"/>
        <item x="145"/>
        <item x="120"/>
        <item x="58"/>
        <item x="284"/>
        <item x="209"/>
        <item x="124"/>
        <item x="94"/>
        <item x="68"/>
        <item x="266"/>
        <item x="83"/>
        <item x="79"/>
        <item x="28"/>
        <item x="80"/>
        <item x="254"/>
        <item x="210"/>
        <item x="249"/>
        <item x="256"/>
        <item x="54"/>
        <item x="125"/>
        <item x="236"/>
        <item x="29"/>
        <item x="16"/>
        <item x="229"/>
        <item x="272"/>
        <item x="188"/>
        <item x="206"/>
        <item x="59"/>
        <item x="234"/>
        <item x="207"/>
        <item x="112"/>
        <item x="137"/>
        <item x="60"/>
        <item x="146"/>
        <item x="157"/>
        <item x="17"/>
        <item x="126"/>
        <item x="61"/>
        <item x="147"/>
        <item x="138"/>
        <item x="262"/>
        <item x="3"/>
        <item x="38"/>
        <item x="62"/>
        <item x="194"/>
        <item x="10"/>
        <item x="84"/>
        <item x="240"/>
        <item x="30"/>
        <item x="148"/>
        <item x="243"/>
        <item x="273"/>
        <item x="99"/>
        <item x="279"/>
        <item x="81"/>
        <item x="224"/>
        <item x="244"/>
        <item x="294"/>
        <item x="180"/>
        <item x="55"/>
        <item x="158"/>
        <item x="152"/>
        <item x="31"/>
        <item x="45"/>
        <item x="113"/>
        <item x="159"/>
        <item x="218"/>
        <item x="241"/>
        <item x="174"/>
        <item x="274"/>
        <item x="121"/>
        <item x="230"/>
        <item x="73"/>
        <item x="85"/>
        <item x="106"/>
        <item x="46"/>
        <item x="160"/>
        <item x="267"/>
        <item x="214"/>
        <item x="189"/>
        <item x="139"/>
        <item x="100"/>
        <item x="39"/>
        <item x="101"/>
        <item x="4"/>
        <item x="275"/>
        <item x="231"/>
        <item x="114"/>
        <item x="165"/>
        <item x="102"/>
        <item x="103"/>
        <item x="195"/>
        <item x="268"/>
        <item x="286"/>
        <item x="276"/>
        <item x="127"/>
        <item x="86"/>
        <item x="87"/>
        <item x="211"/>
        <item x="198"/>
        <item x="122"/>
        <item x="181"/>
        <item x="153"/>
        <item x="166"/>
        <item x="63"/>
        <item x="18"/>
        <item x="64"/>
        <item x="237"/>
        <item x="167"/>
        <item x="140"/>
        <item x="19"/>
        <item x="20"/>
        <item x="287"/>
        <item x="40"/>
        <item x="199"/>
        <item x="88"/>
        <item x="235"/>
        <item x="11"/>
        <item x="250"/>
        <item x="298"/>
        <item x="115"/>
        <item x="221"/>
        <item x="104"/>
        <item x="107"/>
        <item x="208"/>
        <item x="128"/>
        <item x="116"/>
        <item x="182"/>
        <item x="190"/>
        <item x="251"/>
        <item x="21"/>
        <item x="22"/>
        <item x="161"/>
        <item x="255"/>
        <item x="47"/>
        <item x="288"/>
        <item x="141"/>
        <item x="183"/>
        <item x="184"/>
        <item x="289"/>
        <item x="41"/>
        <item x="23"/>
        <item x="89"/>
        <item x="162"/>
        <item x="65"/>
        <item x="149"/>
        <item x="95"/>
        <item x="74"/>
        <item x="257"/>
        <item x="42"/>
        <item x="232"/>
        <item x="295"/>
        <item x="24"/>
        <item x="185"/>
        <item x="290"/>
        <item x="225"/>
        <item x="238"/>
        <item x="108"/>
        <item x="291"/>
        <item x="175"/>
        <item x="12"/>
        <item x="200"/>
        <item x="239"/>
        <item x="176"/>
        <item x="75"/>
        <item x="150"/>
        <item x="201"/>
        <item x="258"/>
        <item x="215"/>
        <item x="48"/>
        <item x="105"/>
        <item x="202"/>
        <item x="168"/>
        <item x="90"/>
        <item x="32"/>
        <item x="13"/>
        <item x="269"/>
        <item x="280"/>
        <item x="96"/>
        <item x="163"/>
        <item x="186"/>
        <item x="164"/>
        <item x="263"/>
        <item x="91"/>
        <item x="187"/>
        <item x="270"/>
        <item x="49"/>
        <item x="264"/>
        <item x="56"/>
        <item x="252"/>
        <item x="66"/>
        <item x="76"/>
        <item x="50"/>
        <item x="285"/>
        <item x="33"/>
        <item x="242"/>
        <item x="14"/>
        <item x="67"/>
        <item x="226"/>
        <item x="259"/>
        <item x="43"/>
        <item x="129"/>
        <item x="191"/>
        <item x="216"/>
        <item x="34"/>
        <item x="219"/>
        <item x="192"/>
        <item x="265"/>
        <item x="117"/>
        <item x="296"/>
        <item x="77"/>
        <item x="92"/>
        <item x="271"/>
        <item x="196"/>
        <item x="15"/>
        <item x="51"/>
        <item t="default"/>
      </items>
    </pivotField>
    <pivotField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dataField="1" numFmtId="1" showAll="0"/>
    <pivotField axis="axisRow"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numFmtId="10" showAll="0"/>
    <pivotField dragToRow="0" dragToCol="0" dragToPage="0" showAll="0" defaultSubtotal="0"/>
  </pivotFields>
  <rowFields count="1">
    <field x="11"/>
  </rowFields>
  <rowItems count="2">
    <i>
      <x v="1"/>
    </i>
    <i>
      <x v="3"/>
    </i>
  </rowItems>
  <colItems count="1">
    <i/>
  </colItems>
  <dataFields count="1">
    <dataField name="Average of Clicks" fld="10" subtotal="average" baseField="1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hashtags Splits">
  <location ref="D30:E31" firstHeaderRow="1" firstDataRow="1" firstDataCol="1"/>
  <pivotFields count="17">
    <pivotField showAll="0"/>
    <pivotField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dataField="1" numFmtId="1" showAll="0"/>
    <pivotField showAll="0">
      <items count="5">
        <item x="1"/>
        <item x="2"/>
        <item x="3"/>
        <item x="0"/>
        <item t="default"/>
      </items>
    </pivotField>
    <pivotField axis="axisRow" showAll="0">
      <items count="6">
        <item h="1" x="4"/>
        <item x="0"/>
        <item h="1" x="1"/>
        <item h="1" x="2"/>
        <item h="1" x="3"/>
        <item t="default"/>
      </items>
    </pivotField>
    <pivotField showAll="0">
      <items count="5">
        <item x="0"/>
        <item x="2"/>
        <item x="1"/>
        <item x="3"/>
        <item t="default"/>
      </items>
    </pivotField>
    <pivotField showAll="0"/>
    <pivotField numFmtId="10" showAll="0"/>
    <pivotField dragToRow="0" dragToCol="0" dragToPage="0" showAll="0" defaultSubtotal="0"/>
  </pivotFields>
  <rowFields count="1">
    <field x="12"/>
  </rowFields>
  <rowItems count="1">
    <i>
      <x v="1"/>
    </i>
  </rowItems>
  <colItems count="1">
    <i/>
  </colItems>
  <dataFields count="1">
    <dataField name="Average of Clicks" fld="10" subtotal="average" baseField="12"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rowHeaderCaption="Hashtags used">
  <location ref="A30:B32" firstHeaderRow="1" firstDataRow="1" firstDataCol="1"/>
  <pivotFields count="17">
    <pivotField showAll="0">
      <items count="300">
        <item x="130"/>
        <item x="35"/>
        <item x="281"/>
        <item x="282"/>
        <item x="97"/>
        <item x="169"/>
        <item x="292"/>
        <item x="131"/>
        <item x="283"/>
        <item x="69"/>
        <item x="142"/>
        <item x="177"/>
        <item x="245"/>
        <item x="132"/>
        <item x="297"/>
        <item x="170"/>
        <item x="36"/>
        <item x="171"/>
        <item x="193"/>
        <item x="260"/>
        <item x="178"/>
        <item x="172"/>
        <item x="253"/>
        <item x="246"/>
        <item x="143"/>
        <item x="277"/>
        <item x="70"/>
        <item x="82"/>
        <item x="118"/>
        <item x="0"/>
        <item x="133"/>
        <item x="247"/>
        <item x="5"/>
        <item x="134"/>
        <item x="123"/>
        <item x="154"/>
        <item x="233"/>
        <item x="278"/>
        <item x="173"/>
        <item x="109"/>
        <item x="37"/>
        <item x="52"/>
        <item x="227"/>
        <item x="203"/>
        <item x="53"/>
        <item x="78"/>
        <item x="44"/>
        <item x="222"/>
        <item x="119"/>
        <item x="144"/>
        <item x="228"/>
        <item x="217"/>
        <item x="71"/>
        <item x="135"/>
        <item x="57"/>
        <item x="6"/>
        <item x="204"/>
        <item x="213"/>
        <item x="110"/>
        <item x="1"/>
        <item x="261"/>
        <item x="197"/>
        <item x="25"/>
        <item x="155"/>
        <item x="111"/>
        <item x="98"/>
        <item x="93"/>
        <item x="293"/>
        <item x="7"/>
        <item x="8"/>
        <item x="248"/>
        <item x="136"/>
        <item x="151"/>
        <item x="26"/>
        <item x="205"/>
        <item x="156"/>
        <item x="27"/>
        <item x="9"/>
        <item x="179"/>
        <item x="72"/>
        <item x="223"/>
        <item x="2"/>
        <item x="212"/>
        <item x="220"/>
        <item x="145"/>
        <item x="120"/>
        <item x="58"/>
        <item x="284"/>
        <item x="209"/>
        <item x="124"/>
        <item x="94"/>
        <item x="68"/>
        <item x="266"/>
        <item x="83"/>
        <item x="79"/>
        <item x="28"/>
        <item x="80"/>
        <item x="254"/>
        <item x="210"/>
        <item x="249"/>
        <item x="256"/>
        <item x="54"/>
        <item x="125"/>
        <item x="236"/>
        <item x="29"/>
        <item x="16"/>
        <item x="229"/>
        <item x="272"/>
        <item x="188"/>
        <item x="206"/>
        <item x="59"/>
        <item x="234"/>
        <item x="207"/>
        <item x="112"/>
        <item x="137"/>
        <item x="60"/>
        <item x="146"/>
        <item x="157"/>
        <item x="17"/>
        <item x="126"/>
        <item x="61"/>
        <item x="147"/>
        <item x="138"/>
        <item x="262"/>
        <item x="3"/>
        <item x="38"/>
        <item x="62"/>
        <item x="194"/>
        <item x="10"/>
        <item x="84"/>
        <item x="240"/>
        <item x="30"/>
        <item x="148"/>
        <item x="243"/>
        <item x="273"/>
        <item x="99"/>
        <item x="279"/>
        <item x="81"/>
        <item x="224"/>
        <item x="244"/>
        <item x="294"/>
        <item x="180"/>
        <item x="55"/>
        <item x="158"/>
        <item x="152"/>
        <item x="31"/>
        <item x="45"/>
        <item x="113"/>
        <item x="159"/>
        <item x="218"/>
        <item x="241"/>
        <item x="174"/>
        <item x="274"/>
        <item x="121"/>
        <item x="230"/>
        <item x="73"/>
        <item x="85"/>
        <item x="106"/>
        <item x="46"/>
        <item x="160"/>
        <item x="267"/>
        <item x="214"/>
        <item x="189"/>
        <item x="139"/>
        <item x="100"/>
        <item x="39"/>
        <item x="101"/>
        <item x="4"/>
        <item x="275"/>
        <item x="231"/>
        <item x="114"/>
        <item x="165"/>
        <item x="102"/>
        <item x="103"/>
        <item x="195"/>
        <item x="268"/>
        <item x="286"/>
        <item x="276"/>
        <item x="127"/>
        <item x="86"/>
        <item x="87"/>
        <item x="211"/>
        <item x="198"/>
        <item x="122"/>
        <item x="181"/>
        <item x="153"/>
        <item x="166"/>
        <item x="63"/>
        <item x="18"/>
        <item x="64"/>
        <item x="237"/>
        <item x="167"/>
        <item x="140"/>
        <item x="19"/>
        <item x="20"/>
        <item x="287"/>
        <item x="40"/>
        <item x="199"/>
        <item x="88"/>
        <item x="235"/>
        <item x="11"/>
        <item x="250"/>
        <item x="298"/>
        <item x="115"/>
        <item x="221"/>
        <item x="104"/>
        <item x="107"/>
        <item x="208"/>
        <item x="128"/>
        <item x="116"/>
        <item x="182"/>
        <item x="190"/>
        <item x="251"/>
        <item x="21"/>
        <item x="22"/>
        <item x="161"/>
        <item x="255"/>
        <item x="47"/>
        <item x="288"/>
        <item x="141"/>
        <item x="183"/>
        <item x="184"/>
        <item x="289"/>
        <item x="41"/>
        <item x="23"/>
        <item x="89"/>
        <item x="162"/>
        <item x="65"/>
        <item x="149"/>
        <item x="95"/>
        <item x="74"/>
        <item x="257"/>
        <item x="42"/>
        <item x="232"/>
        <item x="295"/>
        <item x="24"/>
        <item x="185"/>
        <item x="290"/>
        <item x="225"/>
        <item x="238"/>
        <item x="108"/>
        <item x="291"/>
        <item x="175"/>
        <item x="12"/>
        <item x="200"/>
        <item x="239"/>
        <item x="176"/>
        <item x="75"/>
        <item x="150"/>
        <item x="201"/>
        <item x="258"/>
        <item x="215"/>
        <item x="48"/>
        <item x="105"/>
        <item x="202"/>
        <item x="168"/>
        <item x="90"/>
        <item x="32"/>
        <item x="13"/>
        <item x="269"/>
        <item x="280"/>
        <item x="96"/>
        <item x="163"/>
        <item x="186"/>
        <item x="164"/>
        <item x="263"/>
        <item x="91"/>
        <item x="187"/>
        <item x="270"/>
        <item x="49"/>
        <item x="264"/>
        <item x="56"/>
        <item x="252"/>
        <item x="66"/>
        <item x="76"/>
        <item x="50"/>
        <item x="285"/>
        <item x="33"/>
        <item x="242"/>
        <item x="14"/>
        <item x="67"/>
        <item x="226"/>
        <item x="259"/>
        <item x="43"/>
        <item x="129"/>
        <item x="191"/>
        <item x="216"/>
        <item x="34"/>
        <item x="219"/>
        <item x="192"/>
        <item x="265"/>
        <item x="117"/>
        <item x="296"/>
        <item x="77"/>
        <item x="92"/>
        <item x="271"/>
        <item x="196"/>
        <item x="15"/>
        <item x="51"/>
        <item t="default"/>
      </items>
    </pivotField>
    <pivotField showAll="0">
      <items count="4">
        <item x="0"/>
        <item x="2"/>
        <item x="1"/>
        <item t="default"/>
      </items>
    </pivotField>
    <pivotField numFmtId="14" showAll="0"/>
    <pivotField showAll="0">
      <items count="4">
        <item x="1"/>
        <item x="2"/>
        <item x="0"/>
        <item t="default"/>
      </items>
    </pivotField>
    <pivotField showAll="0"/>
    <pivotField numFmtId="1" showAll="0"/>
    <pivotField numFmtId="1" showAll="0"/>
    <pivotField numFmtId="1" showAll="0"/>
    <pivotField numFmtId="1" showAll="0"/>
    <pivotField numFmtId="1" showAll="0"/>
    <pivotField dataField="1" numFmtId="1" showAll="0"/>
    <pivotField axis="axisRow" showAll="0">
      <items count="5">
        <item x="1"/>
        <item x="2"/>
        <item x="3"/>
        <item x="0"/>
        <item t="default"/>
      </items>
    </pivotField>
    <pivotField showAll="0">
      <items count="6">
        <item h="1" x="4"/>
        <item x="0"/>
        <item h="1" x="1"/>
        <item h="1" x="2"/>
        <item h="1" x="3"/>
        <item t="default"/>
      </items>
    </pivotField>
    <pivotField showAll="0">
      <items count="5">
        <item x="0"/>
        <item x="2"/>
        <item x="1"/>
        <item x="3"/>
        <item t="default"/>
      </items>
    </pivotField>
    <pivotField showAll="0"/>
    <pivotField numFmtId="10" showAll="0"/>
    <pivotField dragToRow="0" dragToCol="0" dragToPage="0" showAll="0" defaultSubtotal="0"/>
  </pivotFields>
  <rowFields count="1">
    <field x="11"/>
  </rowFields>
  <rowItems count="2">
    <i>
      <x v="1"/>
    </i>
    <i>
      <x v="3"/>
    </i>
  </rowItems>
  <colItems count="1">
    <i/>
  </colItems>
  <dataFields count="1">
    <dataField name="Average of Clicks" fld="10" subtotal="average" baseField="11"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ntent_Type" sourceName="Content Type">
  <pivotTables>
    <pivotTable tabId="6" name="PivotTable2"/>
    <pivotTable tabId="6" name="PivotTable1"/>
    <pivotTable tabId="6" name="PivotTable3"/>
    <pivotTable tabId="6" name="PivotTable4"/>
    <pivotTable tabId="6" name="PivotTable5"/>
    <pivotTable tabId="7" name="PivotTable1"/>
    <pivotTable tabId="7" name="PivotTable6"/>
    <pivotTable tabId="8" name="PivotTable2"/>
    <pivotTable tabId="8" name="PivotTable3"/>
    <pivotTable tabId="8" name="PivotTable4"/>
    <pivotTable tabId="9" name="PivotTable10"/>
    <pivotTable tabId="9" name="PivotTable5"/>
    <pivotTable tabId="9" name="PivotTable9"/>
  </pivotTables>
  <data>
    <tabular pivotCacheId="1">
      <items count="3">
        <i x="2" s="1"/>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latform" sourceName="Platform">
  <pivotTables>
    <pivotTable tabId="6" name="PivotTable2"/>
    <pivotTable tabId="6" name="PivotTable1"/>
    <pivotTable tabId="6" name="PivotTable3"/>
    <pivotTable tabId="6" name="PivotTable4"/>
    <pivotTable tabId="6" name="PivotTable5"/>
    <pivotTable tabId="7" name="PivotTable1"/>
    <pivotTable tabId="7" name="PivotTable6"/>
    <pivotTable tabId="8" name="PivotTable2"/>
    <pivotTable tabId="8" name="PivotTable3"/>
    <pivotTable tabId="8" name="PivotTable4"/>
    <pivotTable tabId="9" name="PivotTable10"/>
    <pivotTable tabId="9" name="PivotTable5"/>
    <pivotTable tabId="9" name="PivotTable9"/>
  </pivotTables>
  <data>
    <tabular pivotCacheId="1">
      <items count="3">
        <i x="0" s="1"/>
        <i x="2"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mpaign_Name" sourceName="Campaign_Name">
  <pivotTables>
    <pivotTable tabId="6" name="PivotTable1"/>
    <pivotTable tabId="6" name="PivotTable2"/>
    <pivotTable tabId="6" name="PivotTable3"/>
    <pivotTable tabId="6" name="PivotTable4"/>
    <pivotTable tabId="6" name="PivotTable5"/>
    <pivotTable tabId="7" name="PivotTable1"/>
    <pivotTable tabId="7" name="PivotTable6"/>
    <pivotTable tabId="8" name="PivotTable2"/>
    <pivotTable tabId="8" name="PivotTable3"/>
    <pivotTable tabId="8" name="PivotTable4"/>
    <pivotTable tabId="9" name="PivotTable10"/>
    <pivotTable tabId="9" name="PivotTable5"/>
    <pivotTable tabId="9" name="PivotTable9"/>
  </pivotTables>
  <data>
    <tabular pivotCacheId="1">
      <items count="4">
        <i x="0" s="1"/>
        <i x="2" s="1" nd="1"/>
        <i x="1"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ashtags_Used" sourceName="Hashtags Used">
  <pivotTables>
    <pivotTable tabId="6" name="PivotTable1"/>
    <pivotTable tabId="6" name="PivotTable2"/>
    <pivotTable tabId="6" name="PivotTable3"/>
    <pivotTable tabId="6" name="PivotTable4"/>
    <pivotTable tabId="6" name="PivotTable5"/>
    <pivotTable tabId="7" name="PivotTable1"/>
    <pivotTable tabId="7" name="PivotTable6"/>
    <pivotTable tabId="8" name="PivotTable2"/>
    <pivotTable tabId="8" name="PivotTable3"/>
    <pivotTable tabId="8" name="PivotTable4"/>
    <pivotTable tabId="9" name="PivotTable10"/>
    <pivotTable tabId="9" name="PivotTable5"/>
    <pivotTable tabId="9" name="PivotTable9"/>
  </pivotTables>
  <data>
    <tabular pivotCacheId="1">
      <items count="4">
        <i x="2" s="1"/>
        <i x="0" s="1"/>
        <i x="1"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ashtags_Split" sourceName="Hashtags Split">
  <pivotTables>
    <pivotTable tabId="6" name="PivotTable1"/>
    <pivotTable tabId="6" name="PivotTable2"/>
    <pivotTable tabId="6" name="PivotTable3"/>
    <pivotTable tabId="6" name="PivotTable4"/>
    <pivotTable tabId="6" name="PivotTable5"/>
    <pivotTable tabId="7" name="PivotTable1"/>
    <pivotTable tabId="7" name="PivotTable6"/>
    <pivotTable tabId="8" name="PivotTable2"/>
    <pivotTable tabId="8" name="PivotTable3"/>
    <pivotTable tabId="8" name="PivotTable4"/>
    <pivotTable tabId="9" name="PivotTable10"/>
    <pivotTable tabId="9" name="PivotTable5"/>
    <pivotTable tabId="9" name="PivotTable9"/>
  </pivotTables>
  <data>
    <tabular pivotCacheId="1">
      <items count="5">
        <i x="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ntent Type" cache="Slicer_Content_Type" caption="Content Type" rowHeight="234950"/>
  <slicer name="Platform" cache="Slicer_Platform" caption="Platform" rowHeight="234950"/>
  <slicer name="Campaign_Name" cache="Slicer_Campaign_Name" caption="Campaign_Name" rowHeight="234950"/>
  <slicer name="Hashtags Used" cache="Slicer_Hashtags_Used" caption="Hashtags Used" rowHeight="234950"/>
  <slicer name="Hashtags Split" cache="Slicer_Hashtags_Split" caption="Hashtags Split" rowHeight="234950"/>
</slicers>
</file>

<file path=xl/tables/table1.xml><?xml version="1.0" encoding="utf-8"?>
<table xmlns="http://schemas.openxmlformats.org/spreadsheetml/2006/main" id="8" name="Table8" displayName="Table8" ref="A35:D38" totalsRowShown="0">
  <autoFilter ref="A35:D38"/>
  <tableColumns count="4">
    <tableColumn id="1" name="Platform" dataDxfId="49"/>
    <tableColumn id="2" name="Total Engagement" dataDxfId="48"/>
    <tableColumn id="3" name="Ad-Spends" dataDxfId="47"/>
    <tableColumn id="4" name="ROI" dataDxfId="46">
      <calculatedColumnFormula>B36/C36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9" name="Table9" displayName="Table9" ref="D17:F22" totalsRowShown="0" headerRowDxfId="45">
  <autoFilter ref="D17:F22"/>
  <tableColumns count="3">
    <tableColumn id="1" name="Campaign_Name" dataDxfId="44"/>
    <tableColumn id="2" name="Avg. Engagement Rate" dataDxfId="43"/>
    <tableColumn id="3" name="Uplift %" dataDxfId="42"/>
  </tableColumns>
  <tableStyleInfo name="TableStyleMedium2" showFirstColumn="0" showLastColumn="0" showRowStripes="1" showColumnStripes="0"/>
</table>
</file>

<file path=xl/tables/table3.xml><?xml version="1.0" encoding="utf-8"?>
<table xmlns="http://schemas.openxmlformats.org/spreadsheetml/2006/main" id="5" name="Table5" displayName="Table5" ref="A1:Q300" totalsRowShown="0" headerRowDxfId="41" dataDxfId="40">
  <autoFilter ref="A1:Q300"/>
  <sortState ref="A2:Q300">
    <sortCondition ref="C1:C300"/>
  </sortState>
  <tableColumns count="17">
    <tableColumn id="1" name="Post ID" dataDxfId="39"/>
    <tableColumn id="2" name="Platform" dataDxfId="38"/>
    <tableColumn id="3" name="Date" dataDxfId="37"/>
    <tableColumn id="4" name="Content Type" dataDxfId="36"/>
    <tableColumn id="5" name="Post Text" dataDxfId="35"/>
    <tableColumn id="6" name="Likes" dataDxfId="34"/>
    <tableColumn id="7" name="Shares" dataDxfId="33"/>
    <tableColumn id="8" name="Comments" dataDxfId="32"/>
    <tableColumn id="9" name="Impressions" dataDxfId="31"/>
    <tableColumn id="10" name="Reach" dataDxfId="30"/>
    <tableColumn id="11" name="Clicks" dataDxfId="29"/>
    <tableColumn id="12" name="Hashtags Used" dataDxfId="28"/>
    <tableColumn id="13" name="Hashtags Split" dataDxfId="27"/>
    <tableColumn id="14" name="Campaign_Name" dataDxfId="26"/>
    <tableColumn id="15" name="Week ">
      <calculatedColumnFormula>WEEKNUM(C2)</calculatedColumnFormula>
    </tableColumn>
    <tableColumn id="17" name="Engagement rate " dataDxfId="25">
      <calculatedColumnFormula>(Table5[[#This Row],[Likes]]+Table5[[#This Row],[Shares]]+Table5[[#This Row],[Comments]])/Table5[[#This Row],[Impressions]]</calculatedColumnFormula>
    </tableColumn>
    <tableColumn id="16" name="Engagement" dataDxfId="24">
      <calculatedColumnFormula>Table5[[#This Row],[Likes]]+Table5[[#This Row],[Shares]]+Table5[[#This Row],[Comments]]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J201" totalsRowShown="0" headerRowDxfId="23">
  <autoFilter ref="A1:J201"/>
  <tableColumns count="10">
    <tableColumn id="1" name="Week_Start_Date" dataDxfId="22"/>
    <tableColumn id="2" name="Platform" dataDxfId="21"/>
    <tableColumn id="3" name="New_Followers" dataDxfId="20"/>
    <tableColumn id="4" name="Unfollows" dataDxfId="19"/>
    <tableColumn id="5" name="Total_Followers" dataDxfId="18"/>
    <tableColumn id="6" name="Engagement_Rate" dataDxfId="17" dataCellStyle="Currency"/>
    <tableColumn id="7" name="Ad_Spend" dataDxfId="16"/>
    <tableColumn id="8" name="week">
      <calculatedColumnFormula>WEEKNUM(A2)</calculatedColumnFormula>
    </tableColumn>
    <tableColumn id="9" name="Growth_Rate" dataDxfId="15">
      <calculatedColumnFormula>(Table4[[#This Row],[New_Followers]]-Table4[[#This Row],[Unfollows]])/Table4[[#This Row],[Total_Followers]]</calculatedColumnFormula>
    </tableColumn>
    <tableColumn id="10" name="Net_Gain" dataDxfId="14">
      <calculatedColumnFormula>Table4[[#This Row],[New_Followers]]-Table4[[#This Row],[Unfollows]]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3" name="Table3" displayName="Table3" ref="A1:I5" totalsRowShown="0" headerRowDxfId="13">
  <autoFilter ref="A1:I5"/>
  <tableColumns count="9">
    <tableColumn id="1" name="Campaign_Name" dataDxfId="12"/>
    <tableColumn id="2" name="Start_Date" dataDxfId="11"/>
    <tableColumn id="3" name="End_Date" dataDxfId="10"/>
    <tableColumn id="4" name="Objective" dataDxfId="9"/>
    <tableColumn id="5" name="Total_Budget" dataDxfId="8"/>
    <tableColumn id="6" name="Target_Platforms1" dataDxfId="7"/>
    <tableColumn id="7" name="Target_Platforms2" dataDxfId="6"/>
    <tableColumn id="8" name="Primary_Hashtags" dataDxfId="5"/>
    <tableColumn id="9" name="Split Hashtags" dataDxfId="4"/>
  </tableColumns>
  <tableStyleInfo name="TableStyleMedium2" showFirstColumn="0" showLastColumn="0" showRowStripes="1" showColumnStripes="0"/>
</table>
</file>

<file path=xl/tables/table6.xml><?xml version="1.0" encoding="utf-8"?>
<table xmlns="http://schemas.openxmlformats.org/spreadsheetml/2006/main" id="2" name="Table2" displayName="Table2" ref="A1:A5" totalsRowShown="0" headerRowDxfId="3" dataDxfId="2">
  <autoFilter ref="A1:A5"/>
  <tableColumns count="1">
    <tableColumn id="1" name="Platform" dataDxfId="1"/>
  </tableColumns>
  <tableStyleInfo name="TableStyleMedium2" showFirstColumn="0" showLastColumn="0" showRowStripes="1" showColumnStripes="0"/>
</table>
</file>

<file path=xl/tables/table7.xml><?xml version="1.0" encoding="utf-8"?>
<table xmlns="http://schemas.openxmlformats.org/spreadsheetml/2006/main" id="1" name="Table1" displayName="Table1" ref="A1:B236" totalsRowShown="0">
  <autoFilter ref="A1:B236"/>
  <tableColumns count="2">
    <tableColumn id="1" name="Date" dataDxfId="0"/>
    <tableColumn id="2" name="Week">
      <calculatedColumnFormula>WEEKNUM(A2)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glWptg7mGbQo8FhPWmfJ-C60XglFj_n_/view?usp=drivesdk" TargetMode="Externa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comments" Target="../comments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6.xml"/><Relationship Id="rId7"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3.bin"/><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drawing" Target="../drawings/drawing6.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rinterSettings" Target="../printerSettings/printerSettings6.bin"/><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tabSelected="1" workbookViewId="0">
      <selection activeCell="B1" sqref="B1"/>
    </sheetView>
  </sheetViews>
  <sheetFormatPr defaultRowHeight="14.4" x14ac:dyDescent="0.3"/>
  <sheetData>
    <row r="1" spans="1:2" x14ac:dyDescent="0.3">
      <c r="A1" t="s">
        <v>480</v>
      </c>
      <c r="B1" s="39" t="s">
        <v>494</v>
      </c>
    </row>
    <row r="3" spans="1:2" ht="21" x14ac:dyDescent="0.4">
      <c r="A3" s="38" t="s">
        <v>492</v>
      </c>
    </row>
    <row r="4" spans="1:2" x14ac:dyDescent="0.3">
      <c r="A4" t="s">
        <v>493</v>
      </c>
    </row>
    <row r="6" spans="1:2" ht="21" x14ac:dyDescent="0.3">
      <c r="A6" s="36" t="s">
        <v>482</v>
      </c>
    </row>
    <row r="8" spans="1:2" x14ac:dyDescent="0.3">
      <c r="A8" s="34" t="s">
        <v>483</v>
      </c>
    </row>
    <row r="9" spans="1:2" x14ac:dyDescent="0.3">
      <c r="A9" s="34" t="s">
        <v>484</v>
      </c>
    </row>
    <row r="10" spans="1:2" x14ac:dyDescent="0.3">
      <c r="A10" s="34" t="s">
        <v>481</v>
      </c>
    </row>
    <row r="11" spans="1:2" x14ac:dyDescent="0.3">
      <c r="A11" s="34" t="s">
        <v>485</v>
      </c>
    </row>
    <row r="13" spans="1:2" ht="21" x14ac:dyDescent="0.3">
      <c r="A13" s="37" t="s">
        <v>486</v>
      </c>
    </row>
    <row r="14" spans="1:2" x14ac:dyDescent="0.3">
      <c r="A14" s="34" t="s">
        <v>487</v>
      </c>
    </row>
    <row r="16" spans="1:2" ht="21" x14ac:dyDescent="0.4">
      <c r="A16" t="s">
        <v>491</v>
      </c>
    </row>
    <row r="17" spans="1:1" x14ac:dyDescent="0.3">
      <c r="A17" t="s">
        <v>488</v>
      </c>
    </row>
    <row r="18" spans="1:1" x14ac:dyDescent="0.3">
      <c r="A18" t="s">
        <v>489</v>
      </c>
    </row>
    <row r="19" spans="1:1" x14ac:dyDescent="0.3">
      <c r="A19" t="s">
        <v>490</v>
      </c>
    </row>
  </sheetData>
  <hyperlinks>
    <hyperlink ref="B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5" zoomScaleNormal="85" workbookViewId="0">
      <selection activeCell="X54" sqref="X54"/>
    </sheetView>
  </sheetViews>
  <sheetFormatPr defaultRowHeight="14.4" x14ac:dyDescent="0.3"/>
  <sheetData>
    <row r="1" spans="1:1" ht="31.2" x14ac:dyDescent="0.6">
      <c r="A1" s="33" t="s">
        <v>445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94"/>
  <sheetViews>
    <sheetView topLeftCell="B4" workbookViewId="0">
      <selection activeCell="I74" sqref="I74"/>
    </sheetView>
  </sheetViews>
  <sheetFormatPr defaultRowHeight="14.4" x14ac:dyDescent="0.3"/>
  <cols>
    <col min="1" max="1" width="134.77734375" bestFit="1" customWidth="1"/>
    <col min="2" max="2" width="16.21875" customWidth="1"/>
    <col min="3" max="3" width="15.33203125" bestFit="1" customWidth="1"/>
  </cols>
  <sheetData>
    <row r="1" spans="1:2" x14ac:dyDescent="0.3">
      <c r="A1" t="s">
        <v>421</v>
      </c>
    </row>
    <row r="2" spans="1:2" x14ac:dyDescent="0.3">
      <c r="A2" t="s">
        <v>425</v>
      </c>
    </row>
    <row r="3" spans="1:2" x14ac:dyDescent="0.3">
      <c r="A3" s="21" t="s">
        <v>424</v>
      </c>
      <c r="B3" t="s">
        <v>423</v>
      </c>
    </row>
    <row r="4" spans="1:2" x14ac:dyDescent="0.3">
      <c r="A4" s="22">
        <v>35</v>
      </c>
      <c r="B4" s="14">
        <v>5096</v>
      </c>
    </row>
    <row r="5" spans="1:2" x14ac:dyDescent="0.3">
      <c r="A5" s="22">
        <v>33</v>
      </c>
      <c r="B5" s="14">
        <v>5419</v>
      </c>
    </row>
    <row r="6" spans="1:2" x14ac:dyDescent="0.3">
      <c r="A6" s="22">
        <v>31</v>
      </c>
      <c r="B6" s="14">
        <v>5368</v>
      </c>
    </row>
    <row r="7" spans="1:2" x14ac:dyDescent="0.3">
      <c r="A7" s="22">
        <v>30</v>
      </c>
      <c r="B7" s="14">
        <v>4975</v>
      </c>
    </row>
    <row r="8" spans="1:2" x14ac:dyDescent="0.3">
      <c r="A8" s="22">
        <v>29</v>
      </c>
      <c r="B8" s="14">
        <v>5023</v>
      </c>
    </row>
    <row r="9" spans="1:2" x14ac:dyDescent="0.3">
      <c r="A9" s="22">
        <v>28</v>
      </c>
      <c r="B9" s="14">
        <v>5824</v>
      </c>
    </row>
    <row r="10" spans="1:2" x14ac:dyDescent="0.3">
      <c r="A10" s="22">
        <v>27</v>
      </c>
      <c r="B10" s="14">
        <v>4741</v>
      </c>
    </row>
    <row r="11" spans="1:2" x14ac:dyDescent="0.3">
      <c r="A11" s="22">
        <v>25</v>
      </c>
      <c r="B11" s="14">
        <v>5192</v>
      </c>
    </row>
    <row r="12" spans="1:2" x14ac:dyDescent="0.3">
      <c r="A12" s="22">
        <v>24</v>
      </c>
      <c r="B12" s="14">
        <v>5020</v>
      </c>
    </row>
    <row r="13" spans="1:2" x14ac:dyDescent="0.3">
      <c r="A13" s="22">
        <v>23</v>
      </c>
      <c r="B13" s="14">
        <v>5468</v>
      </c>
    </row>
    <row r="16" spans="1:2" x14ac:dyDescent="0.3">
      <c r="A16" t="s">
        <v>426</v>
      </c>
    </row>
    <row r="18" spans="1:2" x14ac:dyDescent="0.3">
      <c r="A18" s="21" t="s">
        <v>427</v>
      </c>
      <c r="B18" t="s">
        <v>423</v>
      </c>
    </row>
    <row r="19" spans="1:2" x14ac:dyDescent="0.3">
      <c r="A19" s="25">
        <v>45446</v>
      </c>
      <c r="B19" s="14">
        <v>3419</v>
      </c>
    </row>
    <row r="20" spans="1:2" x14ac:dyDescent="0.3">
      <c r="A20" s="25">
        <v>45460</v>
      </c>
      <c r="B20" s="14">
        <v>3175</v>
      </c>
    </row>
    <row r="21" spans="1:2" x14ac:dyDescent="0.3">
      <c r="A21" s="25">
        <v>45481</v>
      </c>
      <c r="B21" s="14">
        <v>3155</v>
      </c>
    </row>
    <row r="22" spans="1:2" x14ac:dyDescent="0.3">
      <c r="A22" s="25">
        <v>45516</v>
      </c>
      <c r="B22" s="14">
        <v>3072</v>
      </c>
    </row>
    <row r="23" spans="1:2" x14ac:dyDescent="0.3">
      <c r="A23" s="25">
        <v>45565</v>
      </c>
      <c r="B23" s="14">
        <v>3151</v>
      </c>
    </row>
    <row r="24" spans="1:2" x14ac:dyDescent="0.3">
      <c r="A24" s="25">
        <v>45600</v>
      </c>
      <c r="B24" s="14">
        <v>3576</v>
      </c>
    </row>
    <row r="25" spans="1:2" x14ac:dyDescent="0.3">
      <c r="A25" s="25">
        <v>45754</v>
      </c>
      <c r="B25" s="14">
        <v>3291</v>
      </c>
    </row>
    <row r="26" spans="1:2" x14ac:dyDescent="0.3">
      <c r="A26" s="25">
        <v>45761</v>
      </c>
      <c r="B26" s="14">
        <v>3216</v>
      </c>
    </row>
    <row r="27" spans="1:2" x14ac:dyDescent="0.3">
      <c r="A27" s="25">
        <v>45796</v>
      </c>
      <c r="B27" s="14">
        <v>3569</v>
      </c>
    </row>
    <row r="28" spans="1:2" x14ac:dyDescent="0.3">
      <c r="A28" s="25">
        <v>45866</v>
      </c>
      <c r="B28" s="14">
        <v>3236</v>
      </c>
    </row>
    <row r="30" spans="1:2" x14ac:dyDescent="0.3">
      <c r="A30" t="s">
        <v>428</v>
      </c>
    </row>
    <row r="33" spans="1:12" x14ac:dyDescent="0.3">
      <c r="A33" t="s">
        <v>429</v>
      </c>
    </row>
    <row r="35" spans="1:12" x14ac:dyDescent="0.3">
      <c r="A35" s="21" t="s">
        <v>370</v>
      </c>
      <c r="B35" t="s">
        <v>390</v>
      </c>
      <c r="C35" t="s">
        <v>423</v>
      </c>
      <c r="F35" s="7" t="s">
        <v>370</v>
      </c>
      <c r="G35" s="7" t="s">
        <v>340</v>
      </c>
      <c r="H35" s="7" t="s">
        <v>430</v>
      </c>
      <c r="I35" s="7" t="s">
        <v>431</v>
      </c>
      <c r="K35" s="7" t="s">
        <v>432</v>
      </c>
      <c r="L35" s="7" t="s">
        <v>433</v>
      </c>
    </row>
    <row r="36" spans="1:12" x14ac:dyDescent="0.3">
      <c r="A36" s="22">
        <v>53</v>
      </c>
      <c r="B36" s="23">
        <v>44785</v>
      </c>
      <c r="C36" s="14">
        <v>2337</v>
      </c>
      <c r="F36" s="22">
        <v>53</v>
      </c>
      <c r="G36" s="23">
        <v>44785</v>
      </c>
      <c r="H36" s="14">
        <v>2337</v>
      </c>
      <c r="I36" s="12">
        <f>CORREL(G36:G87,H36:H87)</f>
        <v>0.73524907273258777</v>
      </c>
      <c r="K36">
        <v>1</v>
      </c>
      <c r="L36" t="s">
        <v>434</v>
      </c>
    </row>
    <row r="37" spans="1:12" x14ac:dyDescent="0.3">
      <c r="A37" s="22">
        <v>52</v>
      </c>
      <c r="B37" s="23">
        <v>42747</v>
      </c>
      <c r="C37" s="14">
        <v>2550</v>
      </c>
      <c r="F37" s="22">
        <v>52</v>
      </c>
      <c r="G37" s="23">
        <v>42747</v>
      </c>
      <c r="H37" s="14">
        <v>2550</v>
      </c>
      <c r="I37" s="12">
        <f t="shared" ref="I37:I87" si="0">CORREL(G37:G88,H37:H88)</f>
        <v>0.73296550502892133</v>
      </c>
      <c r="K37">
        <v>0</v>
      </c>
      <c r="L37" t="s">
        <v>435</v>
      </c>
    </row>
    <row r="38" spans="1:12" x14ac:dyDescent="0.3">
      <c r="A38" s="22">
        <v>51</v>
      </c>
      <c r="B38" s="23">
        <v>51493</v>
      </c>
      <c r="C38" s="14">
        <v>2693</v>
      </c>
      <c r="F38" s="22">
        <v>51</v>
      </c>
      <c r="G38" s="23">
        <v>51493</v>
      </c>
      <c r="H38" s="14">
        <v>2693</v>
      </c>
      <c r="I38" s="12">
        <f t="shared" si="0"/>
        <v>0.73187235567628228</v>
      </c>
      <c r="K38">
        <v>-1</v>
      </c>
      <c r="L38" t="s">
        <v>436</v>
      </c>
    </row>
    <row r="39" spans="1:12" x14ac:dyDescent="0.3">
      <c r="A39" s="22">
        <v>50</v>
      </c>
      <c r="B39" s="23">
        <v>59678</v>
      </c>
      <c r="C39" s="14">
        <v>1398</v>
      </c>
      <c r="F39" s="22">
        <v>50</v>
      </c>
      <c r="G39" s="23">
        <v>59678</v>
      </c>
      <c r="H39" s="14">
        <v>1398</v>
      </c>
      <c r="I39" s="12">
        <f t="shared" si="0"/>
        <v>0.73106824542879811</v>
      </c>
    </row>
    <row r="40" spans="1:12" x14ac:dyDescent="0.3">
      <c r="A40" s="22">
        <v>49</v>
      </c>
      <c r="B40" s="23">
        <v>45124</v>
      </c>
      <c r="C40" s="14">
        <v>2383</v>
      </c>
      <c r="F40" s="22">
        <v>49</v>
      </c>
      <c r="G40" s="23">
        <v>45124</v>
      </c>
      <c r="H40" s="14">
        <v>2383</v>
      </c>
      <c r="I40" s="12">
        <f t="shared" si="0"/>
        <v>0.74240299771318008</v>
      </c>
      <c r="K40" t="s">
        <v>437</v>
      </c>
    </row>
    <row r="41" spans="1:12" x14ac:dyDescent="0.3">
      <c r="A41" s="22">
        <v>48</v>
      </c>
      <c r="B41" s="23">
        <v>35823</v>
      </c>
      <c r="C41" s="14">
        <v>2287</v>
      </c>
      <c r="F41" s="22">
        <v>48</v>
      </c>
      <c r="G41" s="23">
        <v>35823</v>
      </c>
      <c r="H41" s="14">
        <v>2287</v>
      </c>
      <c r="I41" s="12">
        <f t="shared" si="0"/>
        <v>0.739902037611742</v>
      </c>
    </row>
    <row r="42" spans="1:12" x14ac:dyDescent="0.3">
      <c r="A42" s="22">
        <v>47</v>
      </c>
      <c r="B42" s="23">
        <v>40181</v>
      </c>
      <c r="C42" s="14">
        <v>1935</v>
      </c>
      <c r="F42" s="22">
        <v>47</v>
      </c>
      <c r="G42" s="23">
        <v>40181</v>
      </c>
      <c r="H42" s="14">
        <v>1935</v>
      </c>
      <c r="I42" s="12">
        <f t="shared" si="0"/>
        <v>0.73654720938292728</v>
      </c>
      <c r="K42" t="s">
        <v>438</v>
      </c>
    </row>
    <row r="43" spans="1:12" x14ac:dyDescent="0.3">
      <c r="A43" s="22">
        <v>46</v>
      </c>
      <c r="B43" s="23">
        <v>51792</v>
      </c>
      <c r="C43" s="14">
        <v>2794</v>
      </c>
      <c r="F43" s="22">
        <v>46</v>
      </c>
      <c r="G43" s="23">
        <v>51792</v>
      </c>
      <c r="H43" s="14">
        <v>2794</v>
      </c>
      <c r="I43" s="12">
        <f t="shared" si="0"/>
        <v>0.73068780475853035</v>
      </c>
    </row>
    <row r="44" spans="1:12" x14ac:dyDescent="0.3">
      <c r="A44" s="22">
        <v>45</v>
      </c>
      <c r="B44" s="23">
        <v>51694</v>
      </c>
      <c r="C44" s="14">
        <v>3576</v>
      </c>
      <c r="F44" s="22">
        <v>45</v>
      </c>
      <c r="G44" s="23">
        <v>51694</v>
      </c>
      <c r="H44" s="14">
        <v>3576</v>
      </c>
      <c r="I44" s="12">
        <f t="shared" si="0"/>
        <v>0.72976815164645037</v>
      </c>
    </row>
    <row r="45" spans="1:12" x14ac:dyDescent="0.3">
      <c r="A45" s="22">
        <v>44</v>
      </c>
      <c r="B45" s="23">
        <v>75610</v>
      </c>
      <c r="C45" s="14">
        <v>2181</v>
      </c>
      <c r="F45" s="22">
        <v>44</v>
      </c>
      <c r="G45" s="23">
        <v>75610</v>
      </c>
      <c r="H45" s="14">
        <v>2181</v>
      </c>
      <c r="I45" s="12">
        <f t="shared" si="0"/>
        <v>0.73575695067987512</v>
      </c>
    </row>
    <row r="46" spans="1:12" x14ac:dyDescent="0.3">
      <c r="A46" s="22">
        <v>43</v>
      </c>
      <c r="B46" s="23">
        <v>52390</v>
      </c>
      <c r="C46" s="14">
        <v>2792</v>
      </c>
      <c r="F46" s="22">
        <v>43</v>
      </c>
      <c r="G46" s="23">
        <v>52390</v>
      </c>
      <c r="H46" s="14">
        <v>2792</v>
      </c>
      <c r="I46" s="12">
        <f t="shared" si="0"/>
        <v>0.75200112741487413</v>
      </c>
    </row>
    <row r="47" spans="1:12" x14ac:dyDescent="0.3">
      <c r="A47" s="22">
        <v>42</v>
      </c>
      <c r="B47" s="23">
        <v>42137</v>
      </c>
      <c r="C47" s="14">
        <v>2670</v>
      </c>
      <c r="F47" s="22">
        <v>42</v>
      </c>
      <c r="G47" s="23">
        <v>42137</v>
      </c>
      <c r="H47" s="14">
        <v>2670</v>
      </c>
      <c r="I47" s="12">
        <f t="shared" si="0"/>
        <v>0.75102489854009558</v>
      </c>
    </row>
    <row r="48" spans="1:12" x14ac:dyDescent="0.3">
      <c r="A48" s="22">
        <v>41</v>
      </c>
      <c r="B48" s="23">
        <v>40791</v>
      </c>
      <c r="C48" s="14">
        <v>2338</v>
      </c>
      <c r="F48" s="22">
        <v>41</v>
      </c>
      <c r="G48" s="23">
        <v>40791</v>
      </c>
      <c r="H48" s="14">
        <v>2338</v>
      </c>
      <c r="I48" s="12">
        <f t="shared" si="0"/>
        <v>0.75015531484097542</v>
      </c>
    </row>
    <row r="49" spans="1:9" x14ac:dyDescent="0.3">
      <c r="A49" s="22">
        <v>40</v>
      </c>
      <c r="B49" s="23">
        <v>47808</v>
      </c>
      <c r="C49" s="14">
        <v>3151</v>
      </c>
      <c r="F49" s="22">
        <v>40</v>
      </c>
      <c r="G49" s="23">
        <v>47808</v>
      </c>
      <c r="H49" s="14">
        <v>3151</v>
      </c>
      <c r="I49" s="12">
        <f t="shared" si="0"/>
        <v>0.74612293436045996</v>
      </c>
    </row>
    <row r="50" spans="1:9" x14ac:dyDescent="0.3">
      <c r="A50" s="22">
        <v>39</v>
      </c>
      <c r="B50" s="23">
        <v>61088</v>
      </c>
      <c r="C50" s="14">
        <v>2785</v>
      </c>
      <c r="F50" s="22">
        <v>39</v>
      </c>
      <c r="G50" s="23">
        <v>61088</v>
      </c>
      <c r="H50" s="14">
        <v>2785</v>
      </c>
      <c r="I50" s="12">
        <f t="shared" si="0"/>
        <v>0.7489971418406729</v>
      </c>
    </row>
    <row r="51" spans="1:9" x14ac:dyDescent="0.3">
      <c r="A51" s="22">
        <v>38</v>
      </c>
      <c r="B51" s="23">
        <v>51007</v>
      </c>
      <c r="C51" s="14">
        <v>2162</v>
      </c>
      <c r="F51" s="22">
        <v>38</v>
      </c>
      <c r="G51" s="23">
        <v>51007</v>
      </c>
      <c r="H51" s="14">
        <v>2162</v>
      </c>
      <c r="I51" s="12">
        <f t="shared" si="0"/>
        <v>0.74874330535697653</v>
      </c>
    </row>
    <row r="52" spans="1:9" x14ac:dyDescent="0.3">
      <c r="A52" s="22">
        <v>37</v>
      </c>
      <c r="B52" s="23">
        <v>63440</v>
      </c>
      <c r="C52" s="14">
        <v>4066</v>
      </c>
      <c r="F52" s="22">
        <v>37</v>
      </c>
      <c r="G52" s="23">
        <v>63440</v>
      </c>
      <c r="H52" s="14">
        <v>4066</v>
      </c>
      <c r="I52" s="12">
        <f t="shared" si="0"/>
        <v>0.7456754196235037</v>
      </c>
    </row>
    <row r="53" spans="1:9" x14ac:dyDescent="0.3">
      <c r="A53" s="22">
        <v>36</v>
      </c>
      <c r="B53" s="23">
        <v>101252</v>
      </c>
      <c r="C53" s="14">
        <v>3926</v>
      </c>
      <c r="F53" s="22">
        <v>36</v>
      </c>
      <c r="G53" s="23">
        <v>101252</v>
      </c>
      <c r="H53" s="14">
        <v>3926</v>
      </c>
      <c r="I53" s="12">
        <f t="shared" si="0"/>
        <v>0.75077492499003196</v>
      </c>
    </row>
    <row r="54" spans="1:9" x14ac:dyDescent="0.3">
      <c r="A54" s="22">
        <v>35</v>
      </c>
      <c r="B54" s="23">
        <v>105328</v>
      </c>
      <c r="C54" s="14">
        <v>5096</v>
      </c>
      <c r="F54" s="22">
        <v>35</v>
      </c>
      <c r="G54" s="23">
        <v>105328</v>
      </c>
      <c r="H54" s="14">
        <v>5096</v>
      </c>
      <c r="I54" s="12">
        <f t="shared" si="0"/>
        <v>0.75554418312757543</v>
      </c>
    </row>
    <row r="55" spans="1:9" x14ac:dyDescent="0.3">
      <c r="A55" s="22">
        <v>34</v>
      </c>
      <c r="B55" s="23">
        <v>104853</v>
      </c>
      <c r="C55" s="14">
        <v>4119</v>
      </c>
      <c r="F55" s="22">
        <v>34</v>
      </c>
      <c r="G55" s="23">
        <v>104853</v>
      </c>
      <c r="H55" s="14">
        <v>4119</v>
      </c>
      <c r="I55" s="12">
        <f t="shared" si="0"/>
        <v>0.74149296059714298</v>
      </c>
    </row>
    <row r="56" spans="1:9" x14ac:dyDescent="0.3">
      <c r="A56" s="22">
        <v>33</v>
      </c>
      <c r="B56" s="23">
        <v>61670</v>
      </c>
      <c r="C56" s="14">
        <v>5419</v>
      </c>
      <c r="F56" s="22">
        <v>33</v>
      </c>
      <c r="G56" s="23">
        <v>61670</v>
      </c>
      <c r="H56" s="14">
        <v>5419</v>
      </c>
      <c r="I56" s="12">
        <f t="shared" si="0"/>
        <v>0.74483542160147054</v>
      </c>
    </row>
    <row r="57" spans="1:9" x14ac:dyDescent="0.3">
      <c r="A57" s="22">
        <v>32</v>
      </c>
      <c r="B57" s="23">
        <v>94123</v>
      </c>
      <c r="C57" s="14">
        <v>4382</v>
      </c>
      <c r="F57" s="22">
        <v>32</v>
      </c>
      <c r="G57" s="23">
        <v>94123</v>
      </c>
      <c r="H57" s="14">
        <v>4382</v>
      </c>
      <c r="I57" s="12">
        <f t="shared" si="0"/>
        <v>0.78023612906649731</v>
      </c>
    </row>
    <row r="58" spans="1:9" x14ac:dyDescent="0.3">
      <c r="A58" s="22">
        <v>31</v>
      </c>
      <c r="B58" s="23">
        <v>94183</v>
      </c>
      <c r="C58" s="14">
        <v>5368</v>
      </c>
      <c r="F58" s="22">
        <v>31</v>
      </c>
      <c r="G58" s="23">
        <v>94183</v>
      </c>
      <c r="H58" s="14">
        <v>5368</v>
      </c>
      <c r="I58" s="12">
        <f t="shared" si="0"/>
        <v>0.77370292133615381</v>
      </c>
    </row>
    <row r="59" spans="1:9" x14ac:dyDescent="0.3">
      <c r="A59" s="22">
        <v>30</v>
      </c>
      <c r="B59" s="23">
        <v>100052</v>
      </c>
      <c r="C59" s="14">
        <v>4975</v>
      </c>
      <c r="F59" s="22">
        <v>30</v>
      </c>
      <c r="G59" s="23">
        <v>100052</v>
      </c>
      <c r="H59" s="14">
        <v>4975</v>
      </c>
      <c r="I59" s="12">
        <f t="shared" si="0"/>
        <v>0.75921412927338872</v>
      </c>
    </row>
    <row r="60" spans="1:9" x14ac:dyDescent="0.3">
      <c r="A60" s="22">
        <v>29</v>
      </c>
      <c r="B60" s="23">
        <v>89442</v>
      </c>
      <c r="C60" s="14">
        <v>5023</v>
      </c>
      <c r="F60" s="22">
        <v>29</v>
      </c>
      <c r="G60" s="23">
        <v>89442</v>
      </c>
      <c r="H60" s="14">
        <v>5023</v>
      </c>
      <c r="I60" s="12">
        <f t="shared" si="0"/>
        <v>0.73896244137771183</v>
      </c>
    </row>
    <row r="61" spans="1:9" x14ac:dyDescent="0.3">
      <c r="A61" s="22">
        <v>28</v>
      </c>
      <c r="B61" s="23">
        <v>74202</v>
      </c>
      <c r="C61" s="14">
        <v>5824</v>
      </c>
      <c r="F61" s="22">
        <v>28</v>
      </c>
      <c r="G61" s="23">
        <v>74202</v>
      </c>
      <c r="H61" s="14">
        <v>5824</v>
      </c>
      <c r="I61" s="12">
        <f t="shared" si="0"/>
        <v>0.72199180008503649</v>
      </c>
    </row>
    <row r="62" spans="1:9" x14ac:dyDescent="0.3">
      <c r="A62" s="22">
        <v>27</v>
      </c>
      <c r="B62" s="23">
        <v>110681</v>
      </c>
      <c r="C62" s="14">
        <v>4741</v>
      </c>
      <c r="F62" s="22">
        <v>27</v>
      </c>
      <c r="G62" s="23">
        <v>110681</v>
      </c>
      <c r="H62" s="14">
        <v>4741</v>
      </c>
      <c r="I62" s="12">
        <f t="shared" si="0"/>
        <v>0.75369154669367133</v>
      </c>
    </row>
    <row r="63" spans="1:9" x14ac:dyDescent="0.3">
      <c r="A63" s="22">
        <v>26</v>
      </c>
      <c r="B63" s="23">
        <v>120791</v>
      </c>
      <c r="C63" s="14">
        <v>3817</v>
      </c>
      <c r="F63" s="22">
        <v>26</v>
      </c>
      <c r="G63" s="23">
        <v>120791</v>
      </c>
      <c r="H63" s="14">
        <v>3817</v>
      </c>
      <c r="I63" s="12">
        <f t="shared" si="0"/>
        <v>0.7169526162799299</v>
      </c>
    </row>
    <row r="64" spans="1:9" x14ac:dyDescent="0.3">
      <c r="A64" s="22">
        <v>25</v>
      </c>
      <c r="B64" s="23">
        <v>90814</v>
      </c>
      <c r="C64" s="14">
        <v>5192</v>
      </c>
      <c r="F64" s="22">
        <v>25</v>
      </c>
      <c r="G64" s="23">
        <v>90814</v>
      </c>
      <c r="H64" s="14">
        <v>5192</v>
      </c>
      <c r="I64" s="12">
        <f t="shared" si="0"/>
        <v>0.75284076955944357</v>
      </c>
    </row>
    <row r="65" spans="1:9" x14ac:dyDescent="0.3">
      <c r="A65" s="22">
        <v>24</v>
      </c>
      <c r="B65" s="23">
        <v>100777</v>
      </c>
      <c r="C65" s="14">
        <v>5020</v>
      </c>
      <c r="F65" s="22">
        <v>24</v>
      </c>
      <c r="G65" s="23">
        <v>100777</v>
      </c>
      <c r="H65" s="14">
        <v>5020</v>
      </c>
      <c r="I65" s="12">
        <f t="shared" si="0"/>
        <v>0.69686904138371608</v>
      </c>
    </row>
    <row r="66" spans="1:9" x14ac:dyDescent="0.3">
      <c r="A66" s="22">
        <v>23</v>
      </c>
      <c r="B66" s="23">
        <v>93239</v>
      </c>
      <c r="C66" s="14">
        <v>5468</v>
      </c>
      <c r="F66" s="22">
        <v>23</v>
      </c>
      <c r="G66" s="23">
        <v>93239</v>
      </c>
      <c r="H66" s="14">
        <v>5468</v>
      </c>
      <c r="I66" s="12">
        <f t="shared" si="0"/>
        <v>0.56697696161123845</v>
      </c>
    </row>
    <row r="67" spans="1:9" x14ac:dyDescent="0.3">
      <c r="A67" s="22">
        <v>22</v>
      </c>
      <c r="B67" s="23">
        <v>48399</v>
      </c>
      <c r="C67" s="14">
        <v>2909</v>
      </c>
      <c r="F67" s="22">
        <v>22</v>
      </c>
      <c r="G67" s="23">
        <v>48399</v>
      </c>
      <c r="H67" s="14">
        <v>2909</v>
      </c>
      <c r="I67" s="12">
        <f t="shared" si="0"/>
        <v>0.17119299487523346</v>
      </c>
    </row>
    <row r="68" spans="1:9" x14ac:dyDescent="0.3">
      <c r="A68" s="22">
        <v>21</v>
      </c>
      <c r="B68" s="23">
        <v>49692</v>
      </c>
      <c r="C68" s="14">
        <v>3569</v>
      </c>
      <c r="F68" s="22">
        <v>21</v>
      </c>
      <c r="G68" s="23">
        <v>49692</v>
      </c>
      <c r="H68" s="14">
        <v>3569</v>
      </c>
      <c r="I68" s="12">
        <f t="shared" si="0"/>
        <v>0.17547376972591108</v>
      </c>
    </row>
    <row r="69" spans="1:9" x14ac:dyDescent="0.3">
      <c r="A69" s="22">
        <v>20</v>
      </c>
      <c r="B69" s="23">
        <v>57847</v>
      </c>
      <c r="C69" s="14">
        <v>1400</v>
      </c>
      <c r="F69" s="22">
        <v>20</v>
      </c>
      <c r="G69" s="23">
        <v>57847</v>
      </c>
      <c r="H69" s="14">
        <v>1400</v>
      </c>
      <c r="I69" s="12">
        <f t="shared" si="0"/>
        <v>0.18754187051905927</v>
      </c>
    </row>
    <row r="70" spans="1:9" x14ac:dyDescent="0.3">
      <c r="A70" s="22">
        <v>19</v>
      </c>
      <c r="B70" s="23">
        <v>34913</v>
      </c>
      <c r="C70" s="14">
        <v>2054</v>
      </c>
      <c r="F70" s="22">
        <v>19</v>
      </c>
      <c r="G70" s="23">
        <v>34913</v>
      </c>
      <c r="H70" s="14">
        <v>2054</v>
      </c>
      <c r="I70" s="12">
        <f t="shared" si="0"/>
        <v>0.2833120622477916</v>
      </c>
    </row>
    <row r="71" spans="1:9" x14ac:dyDescent="0.3">
      <c r="A71" s="22">
        <v>18</v>
      </c>
      <c r="B71" s="23">
        <v>49246</v>
      </c>
      <c r="C71" s="14">
        <v>2378</v>
      </c>
      <c r="F71" s="22">
        <v>18</v>
      </c>
      <c r="G71" s="23">
        <v>49246</v>
      </c>
      <c r="H71" s="14">
        <v>2378</v>
      </c>
      <c r="I71" s="12">
        <f t="shared" si="0"/>
        <v>0.26430630168135105</v>
      </c>
    </row>
    <row r="72" spans="1:9" x14ac:dyDescent="0.3">
      <c r="A72" s="22">
        <v>17</v>
      </c>
      <c r="B72" s="23">
        <v>60429</v>
      </c>
      <c r="C72" s="14">
        <v>1728</v>
      </c>
      <c r="F72" s="22">
        <v>17</v>
      </c>
      <c r="G72" s="23">
        <v>60429</v>
      </c>
      <c r="H72" s="14">
        <v>1728</v>
      </c>
      <c r="I72" s="12">
        <f t="shared" si="0"/>
        <v>0.26401758780395629</v>
      </c>
    </row>
    <row r="73" spans="1:9" x14ac:dyDescent="0.3">
      <c r="A73" s="22">
        <v>16</v>
      </c>
      <c r="B73" s="23">
        <v>78882</v>
      </c>
      <c r="C73" s="14">
        <v>3216</v>
      </c>
      <c r="F73" s="22">
        <v>16</v>
      </c>
      <c r="G73" s="23">
        <v>78882</v>
      </c>
      <c r="H73" s="14">
        <v>3216</v>
      </c>
      <c r="I73" s="12">
        <f t="shared" si="0"/>
        <v>0.35794165701360825</v>
      </c>
    </row>
    <row r="74" spans="1:9" x14ac:dyDescent="0.3">
      <c r="A74" s="22">
        <v>15</v>
      </c>
      <c r="B74" s="23">
        <v>54066</v>
      </c>
      <c r="C74" s="14">
        <v>3291</v>
      </c>
      <c r="F74" s="22">
        <v>15</v>
      </c>
      <c r="G74" s="23">
        <v>54066</v>
      </c>
      <c r="H74" s="14">
        <v>3291</v>
      </c>
      <c r="I74" s="12">
        <f t="shared" si="0"/>
        <v>8.8401548048853001E-2</v>
      </c>
    </row>
    <row r="75" spans="1:9" x14ac:dyDescent="0.3">
      <c r="A75" s="22">
        <v>14</v>
      </c>
      <c r="B75" s="23">
        <v>51236</v>
      </c>
      <c r="C75" s="14">
        <v>2781</v>
      </c>
      <c r="F75" s="22">
        <v>14</v>
      </c>
      <c r="G75" s="23">
        <v>51236</v>
      </c>
      <c r="H75" s="14">
        <v>2781</v>
      </c>
      <c r="I75" s="12">
        <f t="shared" si="0"/>
        <v>-6.9233926131453016E-2</v>
      </c>
    </row>
    <row r="76" spans="1:9" x14ac:dyDescent="0.3">
      <c r="A76" s="22">
        <v>13</v>
      </c>
      <c r="B76" s="23">
        <v>44995</v>
      </c>
      <c r="C76" s="14">
        <v>2679</v>
      </c>
      <c r="F76" s="22">
        <v>13</v>
      </c>
      <c r="G76" s="23">
        <v>44995</v>
      </c>
      <c r="H76" s="14">
        <v>2679</v>
      </c>
      <c r="I76" s="12">
        <f t="shared" si="0"/>
        <v>-0.1647973648659142</v>
      </c>
    </row>
    <row r="77" spans="1:9" x14ac:dyDescent="0.3">
      <c r="A77" s="22">
        <v>12</v>
      </c>
      <c r="B77" s="23">
        <v>36312</v>
      </c>
      <c r="C77" s="14">
        <v>2188</v>
      </c>
      <c r="F77" s="22">
        <v>12</v>
      </c>
      <c r="G77" s="23">
        <v>36312</v>
      </c>
      <c r="H77" s="14">
        <v>2188</v>
      </c>
      <c r="I77" s="12">
        <f t="shared" si="0"/>
        <v>-0.18993904025268188</v>
      </c>
    </row>
    <row r="78" spans="1:9" x14ac:dyDescent="0.3">
      <c r="A78" s="22">
        <v>11</v>
      </c>
      <c r="B78" s="23">
        <v>59353</v>
      </c>
      <c r="C78" s="14">
        <v>2315</v>
      </c>
      <c r="F78" s="22">
        <v>11</v>
      </c>
      <c r="G78" s="23">
        <v>59353</v>
      </c>
      <c r="H78" s="14">
        <v>2315</v>
      </c>
      <c r="I78" s="12">
        <f t="shared" si="0"/>
        <v>-0.17757754967999234</v>
      </c>
    </row>
    <row r="79" spans="1:9" x14ac:dyDescent="0.3">
      <c r="A79" s="22">
        <v>10</v>
      </c>
      <c r="B79" s="23">
        <v>54434</v>
      </c>
      <c r="C79" s="14">
        <v>2763</v>
      </c>
      <c r="F79" s="22">
        <v>10</v>
      </c>
      <c r="G79" s="23">
        <v>54434</v>
      </c>
      <c r="H79" s="14">
        <v>2763</v>
      </c>
      <c r="I79" s="12">
        <f t="shared" si="0"/>
        <v>-0.30228874947257606</v>
      </c>
    </row>
    <row r="80" spans="1:9" x14ac:dyDescent="0.3">
      <c r="A80" s="22">
        <v>9</v>
      </c>
      <c r="B80" s="23">
        <v>57395</v>
      </c>
      <c r="C80" s="14">
        <v>1713</v>
      </c>
      <c r="F80" s="22">
        <v>9</v>
      </c>
      <c r="G80" s="23">
        <v>57395</v>
      </c>
      <c r="H80" s="14">
        <v>1713</v>
      </c>
      <c r="I80" s="12">
        <f t="shared" si="0"/>
        <v>-0.75167116014174284</v>
      </c>
    </row>
    <row r="81" spans="1:9" x14ac:dyDescent="0.3">
      <c r="A81" s="22">
        <v>8</v>
      </c>
      <c r="B81" s="23">
        <v>43741</v>
      </c>
      <c r="C81" s="14">
        <v>1543</v>
      </c>
      <c r="F81" s="22">
        <v>8</v>
      </c>
      <c r="G81" s="23">
        <v>43741</v>
      </c>
      <c r="H81" s="14">
        <v>1543</v>
      </c>
      <c r="I81" s="12">
        <f t="shared" si="0"/>
        <v>-0.74424219171971639</v>
      </c>
    </row>
    <row r="82" spans="1:9" x14ac:dyDescent="0.3">
      <c r="A82" s="22">
        <v>7</v>
      </c>
      <c r="B82" s="23">
        <v>37927</v>
      </c>
      <c r="C82" s="14">
        <v>2361</v>
      </c>
      <c r="F82" s="22">
        <v>7</v>
      </c>
      <c r="G82" s="23">
        <v>37927</v>
      </c>
      <c r="H82" s="14">
        <v>2361</v>
      </c>
      <c r="I82" s="12">
        <f t="shared" si="0"/>
        <v>-0.79450827976530003</v>
      </c>
    </row>
    <row r="83" spans="1:9" x14ac:dyDescent="0.3">
      <c r="A83" s="22">
        <v>6</v>
      </c>
      <c r="B83" s="23">
        <v>56414</v>
      </c>
      <c r="C83" s="14">
        <v>1680</v>
      </c>
      <c r="F83" s="22">
        <v>6</v>
      </c>
      <c r="G83" s="23">
        <v>56414</v>
      </c>
      <c r="H83" s="14">
        <v>1680</v>
      </c>
      <c r="I83" s="12">
        <f t="shared" si="0"/>
        <v>-0.8365107396173187</v>
      </c>
    </row>
    <row r="84" spans="1:9" x14ac:dyDescent="0.3">
      <c r="A84" s="22">
        <v>5</v>
      </c>
      <c r="B84" s="23">
        <v>37127</v>
      </c>
      <c r="C84" s="14">
        <v>1928</v>
      </c>
      <c r="F84" s="22">
        <v>5</v>
      </c>
      <c r="G84" s="23">
        <v>37127</v>
      </c>
      <c r="H84" s="14">
        <v>1928</v>
      </c>
      <c r="I84" s="12">
        <f t="shared" si="0"/>
        <v>-0.77776777865526392</v>
      </c>
    </row>
    <row r="85" spans="1:9" x14ac:dyDescent="0.3">
      <c r="A85" s="22">
        <v>4</v>
      </c>
      <c r="B85" s="23">
        <v>42348</v>
      </c>
      <c r="C85" s="14">
        <v>1832</v>
      </c>
      <c r="F85" s="22">
        <v>4</v>
      </c>
      <c r="G85" s="23">
        <v>42348</v>
      </c>
      <c r="H85" s="14">
        <v>1832</v>
      </c>
      <c r="I85" s="12">
        <f t="shared" si="0"/>
        <v>-0.79330254432538594</v>
      </c>
    </row>
    <row r="86" spans="1:9" x14ac:dyDescent="0.3">
      <c r="A86" s="22">
        <v>3</v>
      </c>
      <c r="B86" s="23">
        <v>27644</v>
      </c>
      <c r="C86" s="14">
        <v>2341</v>
      </c>
      <c r="F86" s="22">
        <v>3</v>
      </c>
      <c r="G86" s="23">
        <v>27644</v>
      </c>
      <c r="H86" s="14">
        <v>2341</v>
      </c>
      <c r="I86" s="12">
        <f t="shared" si="0"/>
        <v>1</v>
      </c>
    </row>
    <row r="87" spans="1:9" x14ac:dyDescent="0.3">
      <c r="A87" s="22">
        <v>2</v>
      </c>
      <c r="B87" s="23">
        <v>34533</v>
      </c>
      <c r="C87" s="14">
        <v>2451</v>
      </c>
      <c r="F87" s="22">
        <v>2</v>
      </c>
      <c r="G87" s="23">
        <v>34533</v>
      </c>
      <c r="H87" s="14">
        <v>2451</v>
      </c>
      <c r="I87" s="12" t="e">
        <f t="shared" si="0"/>
        <v>#DIV/0!</v>
      </c>
    </row>
    <row r="89" spans="1:9" x14ac:dyDescent="0.3">
      <c r="A89" s="7" t="s">
        <v>475</v>
      </c>
      <c r="B89" s="7" t="s">
        <v>469</v>
      </c>
    </row>
    <row r="90" spans="1:9" x14ac:dyDescent="0.3">
      <c r="A90" t="s">
        <v>476</v>
      </c>
      <c r="B90" t="s">
        <v>470</v>
      </c>
    </row>
    <row r="91" spans="1:9" x14ac:dyDescent="0.3">
      <c r="A91" s="34"/>
    </row>
    <row r="92" spans="1:9" x14ac:dyDescent="0.3">
      <c r="A92" s="34" t="s">
        <v>479</v>
      </c>
    </row>
    <row r="93" spans="1:9" x14ac:dyDescent="0.3">
      <c r="A93" s="34" t="s">
        <v>477</v>
      </c>
    </row>
    <row r="94" spans="1:9" x14ac:dyDescent="0.3">
      <c r="A94" s="34" t="s">
        <v>478</v>
      </c>
    </row>
  </sheetData>
  <pageMargins left="0.7" right="0.7" top="0.75" bottom="0.75" header="0.3" footer="0.3"/>
  <pageSetup orientation="portrait" r:id="rId4"/>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topLeftCell="C22" workbookViewId="0">
      <selection activeCell="P49" sqref="P49"/>
    </sheetView>
  </sheetViews>
  <sheetFormatPr defaultRowHeight="14.4" x14ac:dyDescent="0.3"/>
  <cols>
    <col min="1" max="1" width="11.6640625" customWidth="1"/>
    <col min="2" max="2" width="25.77734375" customWidth="1"/>
    <col min="3" max="3" width="21.88671875" customWidth="1"/>
    <col min="4" max="4" width="11.5546875" customWidth="1"/>
    <col min="5" max="5" width="15.77734375" customWidth="1"/>
    <col min="6" max="6" width="12.109375" bestFit="1" customWidth="1"/>
    <col min="7" max="7" width="16.33203125" bestFit="1" customWidth="1"/>
    <col min="8" max="8" width="12" customWidth="1"/>
    <col min="9" max="9" width="12.88671875" customWidth="1"/>
    <col min="12" max="12" width="15.109375" customWidth="1"/>
    <col min="13" max="13" width="14.5546875" customWidth="1"/>
    <col min="14" max="14" width="17.33203125" customWidth="1"/>
    <col min="16" max="16" width="17.6640625" customWidth="1"/>
  </cols>
  <sheetData>
    <row r="1" spans="1:7" x14ac:dyDescent="0.3">
      <c r="A1" t="s">
        <v>401</v>
      </c>
    </row>
    <row r="2" spans="1:7" x14ac:dyDescent="0.3">
      <c r="C2" s="9"/>
    </row>
    <row r="3" spans="1:7" x14ac:dyDescent="0.3">
      <c r="A3" s="21" t="s">
        <v>443</v>
      </c>
      <c r="B3" t="s">
        <v>402</v>
      </c>
      <c r="C3" t="s">
        <v>403</v>
      </c>
      <c r="D3" t="s">
        <v>375</v>
      </c>
      <c r="E3" t="s">
        <v>405</v>
      </c>
      <c r="F3" t="s">
        <v>404</v>
      </c>
      <c r="G3" t="s">
        <v>406</v>
      </c>
    </row>
    <row r="4" spans="1:7" x14ac:dyDescent="0.3">
      <c r="A4" s="22" t="s">
        <v>17</v>
      </c>
      <c r="B4" s="23">
        <v>3446164</v>
      </c>
      <c r="C4" s="14">
        <v>40071.674418604649</v>
      </c>
      <c r="D4" s="23">
        <v>260734</v>
      </c>
      <c r="E4" s="14">
        <v>3031.7906976744184</v>
      </c>
      <c r="F4" s="23">
        <v>15830</v>
      </c>
      <c r="G4" s="14">
        <v>184.06976744186048</v>
      </c>
    </row>
    <row r="10" spans="1:7" x14ac:dyDescent="0.3">
      <c r="A10" s="21" t="s">
        <v>444</v>
      </c>
      <c r="B10" t="s">
        <v>407</v>
      </c>
    </row>
    <row r="11" spans="1:7" x14ac:dyDescent="0.3">
      <c r="A11" s="22" t="s">
        <v>14</v>
      </c>
      <c r="B11" s="23">
        <v>160000</v>
      </c>
    </row>
    <row r="12" spans="1:7" x14ac:dyDescent="0.3">
      <c r="A12" s="22" t="s">
        <v>23</v>
      </c>
      <c r="B12" s="23">
        <v>200000</v>
      </c>
    </row>
    <row r="13" spans="1:7" x14ac:dyDescent="0.3">
      <c r="A13" s="22" t="s">
        <v>29</v>
      </c>
      <c r="B13" s="23">
        <v>400000</v>
      </c>
    </row>
    <row r="14" spans="1:7" x14ac:dyDescent="0.3">
      <c r="A14" s="22" t="s">
        <v>391</v>
      </c>
      <c r="B14" s="23">
        <v>760000</v>
      </c>
    </row>
    <row r="16" spans="1:7" x14ac:dyDescent="0.3">
      <c r="A16" s="22" t="s">
        <v>413</v>
      </c>
    </row>
    <row r="17" spans="1:7" x14ac:dyDescent="0.3">
      <c r="A17" s="21" t="s">
        <v>443</v>
      </c>
      <c r="B17" t="s">
        <v>386</v>
      </c>
      <c r="D17" s="7" t="s">
        <v>12</v>
      </c>
      <c r="E17" s="7" t="s">
        <v>408</v>
      </c>
      <c r="F17" s="7" t="s">
        <v>410</v>
      </c>
      <c r="G17" s="7" t="s">
        <v>411</v>
      </c>
    </row>
    <row r="18" spans="1:7" x14ac:dyDescent="0.3">
      <c r="A18" s="22" t="s">
        <v>17</v>
      </c>
      <c r="B18" s="28">
        <v>9.8005197244710199E-2</v>
      </c>
      <c r="D18" s="22" t="s">
        <v>17</v>
      </c>
      <c r="E18" s="28">
        <v>9.5908685913867198E-2</v>
      </c>
      <c r="F18" s="28">
        <f>(E18-$E$22)/$E$22</f>
        <v>3.1276192622227937E-2</v>
      </c>
      <c r="G18" t="s">
        <v>412</v>
      </c>
    </row>
    <row r="19" spans="1:7" x14ac:dyDescent="0.3">
      <c r="A19" s="22" t="s">
        <v>391</v>
      </c>
      <c r="B19" s="28">
        <v>9.8005197244710199E-2</v>
      </c>
      <c r="D19" s="22" t="s">
        <v>21</v>
      </c>
      <c r="E19" s="28">
        <v>8.8052036491216082E-2</v>
      </c>
      <c r="F19" s="28">
        <f t="shared" ref="F19:F21" si="0">(E19-$E$22)/$E$22</f>
        <v>-5.3203908696601264E-2</v>
      </c>
    </row>
    <row r="20" spans="1:7" x14ac:dyDescent="0.3">
      <c r="D20" s="22" t="s">
        <v>52</v>
      </c>
      <c r="E20" s="28">
        <v>9.0106881535033476E-2</v>
      </c>
      <c r="F20" s="28">
        <f t="shared" si="0"/>
        <v>-3.1108800698564771E-2</v>
      </c>
    </row>
    <row r="21" spans="1:7" x14ac:dyDescent="0.3">
      <c r="D21" s="22" t="s">
        <v>49</v>
      </c>
      <c r="E21" s="28">
        <v>9.5509123528654066E-2</v>
      </c>
      <c r="F21" s="28">
        <f t="shared" si="0"/>
        <v>2.6979822888753408E-2</v>
      </c>
    </row>
    <row r="22" spans="1:7" x14ac:dyDescent="0.3">
      <c r="D22" s="7" t="s">
        <v>409</v>
      </c>
      <c r="E22" s="18">
        <v>9.2999999999999999E-2</v>
      </c>
    </row>
    <row r="25" spans="1:7" x14ac:dyDescent="0.3">
      <c r="A25" s="22" t="s">
        <v>414</v>
      </c>
    </row>
    <row r="27" spans="1:7" x14ac:dyDescent="0.3">
      <c r="A27" t="s">
        <v>415</v>
      </c>
    </row>
    <row r="28" spans="1:7" x14ac:dyDescent="0.3">
      <c r="A28" t="s">
        <v>416</v>
      </c>
    </row>
    <row r="30" spans="1:7" x14ac:dyDescent="0.3">
      <c r="A30" s="21" t="s">
        <v>1</v>
      </c>
      <c r="B30" t="s">
        <v>396</v>
      </c>
      <c r="D30" s="21" t="s">
        <v>1</v>
      </c>
      <c r="E30" t="s">
        <v>390</v>
      </c>
    </row>
    <row r="31" spans="1:7" x14ac:dyDescent="0.3">
      <c r="A31" s="22" t="s">
        <v>14</v>
      </c>
      <c r="B31" s="14">
        <v>111180</v>
      </c>
      <c r="D31" s="22" t="s">
        <v>14</v>
      </c>
      <c r="E31" s="23">
        <v>1035942</v>
      </c>
    </row>
    <row r="32" spans="1:7" x14ac:dyDescent="0.3">
      <c r="A32" s="22" t="s">
        <v>23</v>
      </c>
      <c r="B32" s="14">
        <v>195243</v>
      </c>
      <c r="D32" s="22" t="s">
        <v>23</v>
      </c>
      <c r="E32" s="23">
        <v>1114204</v>
      </c>
    </row>
    <row r="33" spans="1:5" x14ac:dyDescent="0.3">
      <c r="D33" s="22" t="s">
        <v>29</v>
      </c>
      <c r="E33" s="23">
        <v>1065782</v>
      </c>
    </row>
    <row r="35" spans="1:5" x14ac:dyDescent="0.3">
      <c r="A35" s="31" t="s">
        <v>1</v>
      </c>
      <c r="B35" s="7" t="s">
        <v>417</v>
      </c>
      <c r="C35" s="7" t="s">
        <v>418</v>
      </c>
      <c r="D35" s="31" t="s">
        <v>419</v>
      </c>
    </row>
    <row r="36" spans="1:5" x14ac:dyDescent="0.3">
      <c r="A36" s="22" t="s">
        <v>14</v>
      </c>
      <c r="B36" s="14">
        <v>301576</v>
      </c>
      <c r="C36" s="23">
        <v>1035942</v>
      </c>
      <c r="D36" s="18">
        <f>B36/C36</f>
        <v>0.29111282291865759</v>
      </c>
    </row>
    <row r="37" spans="1:5" x14ac:dyDescent="0.3">
      <c r="A37" s="22" t="s">
        <v>23</v>
      </c>
      <c r="B37" s="14">
        <v>522416</v>
      </c>
      <c r="C37" s="23">
        <v>1114204</v>
      </c>
      <c r="D37" s="18">
        <f t="shared" ref="D37:D38" si="1">B37/C37</f>
        <v>0.46886925554027808</v>
      </c>
    </row>
    <row r="38" spans="1:5" x14ac:dyDescent="0.3">
      <c r="A38" s="22" t="s">
        <v>29</v>
      </c>
      <c r="B38" s="14">
        <v>228696</v>
      </c>
      <c r="C38" s="23">
        <v>1065782</v>
      </c>
      <c r="D38" s="18">
        <f t="shared" si="1"/>
        <v>0.21458046767537828</v>
      </c>
    </row>
    <row r="41" spans="1:5" x14ac:dyDescent="0.3">
      <c r="A41" t="s">
        <v>420</v>
      </c>
    </row>
    <row r="45" spans="1:5" x14ac:dyDescent="0.3">
      <c r="E45" s="35" t="s">
        <v>471</v>
      </c>
    </row>
    <row r="46" spans="1:5" x14ac:dyDescent="0.3">
      <c r="E46" s="34" t="s">
        <v>472</v>
      </c>
    </row>
    <row r="47" spans="1:5" x14ac:dyDescent="0.3">
      <c r="E47" s="7" t="s">
        <v>473</v>
      </c>
    </row>
    <row r="48" spans="1:5" x14ac:dyDescent="0.3">
      <c r="C48" s="9"/>
      <c r="E48" t="s">
        <v>474</v>
      </c>
    </row>
    <row r="49" spans="3:3" x14ac:dyDescent="0.3">
      <c r="C49" s="9"/>
    </row>
    <row r="50" spans="3:3" x14ac:dyDescent="0.3">
      <c r="C50" s="9"/>
    </row>
    <row r="51" spans="3:3" x14ac:dyDescent="0.3">
      <c r="C51" s="9"/>
    </row>
    <row r="52" spans="3:3" x14ac:dyDescent="0.3">
      <c r="C52" s="9"/>
    </row>
    <row r="53" spans="3:3" x14ac:dyDescent="0.3">
      <c r="C53" s="9"/>
    </row>
    <row r="54" spans="3:3" x14ac:dyDescent="0.3">
      <c r="C54" s="9"/>
    </row>
    <row r="55" spans="3:3" x14ac:dyDescent="0.3">
      <c r="C55" s="9"/>
    </row>
    <row r="56" spans="3:3" x14ac:dyDescent="0.3">
      <c r="C56" s="9"/>
    </row>
    <row r="57" spans="3:3" x14ac:dyDescent="0.3">
      <c r="C57" s="9"/>
    </row>
    <row r="58" spans="3:3" x14ac:dyDescent="0.3">
      <c r="C58" s="9"/>
    </row>
    <row r="59" spans="3:3" x14ac:dyDescent="0.3">
      <c r="C59" s="9"/>
    </row>
    <row r="60" spans="3:3" x14ac:dyDescent="0.3">
      <c r="C60" s="9"/>
    </row>
    <row r="61" spans="3:3" x14ac:dyDescent="0.3">
      <c r="C61" s="9"/>
    </row>
    <row r="62" spans="3:3" x14ac:dyDescent="0.3">
      <c r="C62" s="9"/>
    </row>
    <row r="63" spans="3:3" x14ac:dyDescent="0.3">
      <c r="C63" s="9"/>
    </row>
    <row r="64" spans="3:3" x14ac:dyDescent="0.3">
      <c r="C64" s="9"/>
    </row>
    <row r="65" spans="3:3" x14ac:dyDescent="0.3">
      <c r="C65" s="9"/>
    </row>
    <row r="66" spans="3:3" x14ac:dyDescent="0.3">
      <c r="C66" s="9"/>
    </row>
    <row r="67" spans="3:3" x14ac:dyDescent="0.3">
      <c r="C67" s="9"/>
    </row>
    <row r="68" spans="3:3" x14ac:dyDescent="0.3">
      <c r="C68" s="9"/>
    </row>
    <row r="69" spans="3:3" x14ac:dyDescent="0.3">
      <c r="C69" s="9"/>
    </row>
    <row r="70" spans="3:3" x14ac:dyDescent="0.3">
      <c r="C70" s="9"/>
    </row>
    <row r="71" spans="3:3" x14ac:dyDescent="0.3">
      <c r="C71" s="9"/>
    </row>
    <row r="72" spans="3:3" x14ac:dyDescent="0.3">
      <c r="C72" s="9"/>
    </row>
    <row r="73" spans="3:3" x14ac:dyDescent="0.3">
      <c r="C73" s="9"/>
    </row>
    <row r="74" spans="3:3" x14ac:dyDescent="0.3">
      <c r="C74" s="9"/>
    </row>
    <row r="75" spans="3:3" x14ac:dyDescent="0.3">
      <c r="C75" s="9"/>
    </row>
    <row r="76" spans="3:3" x14ac:dyDescent="0.3">
      <c r="C76" s="9"/>
    </row>
    <row r="77" spans="3:3" x14ac:dyDescent="0.3">
      <c r="C77" s="9"/>
    </row>
    <row r="78" spans="3:3" x14ac:dyDescent="0.3">
      <c r="C78" s="9"/>
    </row>
    <row r="79" spans="3:3" x14ac:dyDescent="0.3">
      <c r="C79" s="9"/>
    </row>
    <row r="80" spans="3:3" x14ac:dyDescent="0.3">
      <c r="C80" s="9"/>
    </row>
    <row r="81" spans="3:3" x14ac:dyDescent="0.3">
      <c r="C81" s="9"/>
    </row>
    <row r="82" spans="3:3" x14ac:dyDescent="0.3">
      <c r="C82" s="9"/>
    </row>
    <row r="83" spans="3:3" x14ac:dyDescent="0.3">
      <c r="C83" s="9"/>
    </row>
    <row r="84" spans="3:3" x14ac:dyDescent="0.3">
      <c r="C84" s="9"/>
    </row>
    <row r="85" spans="3:3" x14ac:dyDescent="0.3">
      <c r="C85" s="9"/>
    </row>
    <row r="86" spans="3:3" x14ac:dyDescent="0.3">
      <c r="C86" s="9"/>
    </row>
    <row r="87" spans="3:3" x14ac:dyDescent="0.3">
      <c r="C87" s="9"/>
    </row>
  </sheetData>
  <pageMargins left="0.7" right="0.7" top="0.75" bottom="0.75" header="0.3" footer="0.3"/>
  <pageSetup orientation="portrait" r:id="rId6"/>
  <drawing r:id="rId7"/>
  <tableParts count="2">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topLeftCell="A13" workbookViewId="0"/>
  </sheetViews>
  <sheetFormatPr defaultRowHeight="14.4" x14ac:dyDescent="0.3"/>
  <cols>
    <col min="1" max="1" width="25.77734375" customWidth="1"/>
    <col min="2" max="2" width="15.5546875" customWidth="1"/>
    <col min="3" max="4" width="6" customWidth="1"/>
    <col min="5" max="5" width="10.77734375" customWidth="1"/>
  </cols>
  <sheetData>
    <row r="1" spans="1:3" x14ac:dyDescent="0.3">
      <c r="A1" t="s">
        <v>394</v>
      </c>
    </row>
    <row r="2" spans="1:3" x14ac:dyDescent="0.3">
      <c r="A2" t="s">
        <v>11</v>
      </c>
    </row>
    <row r="3" spans="1:3" x14ac:dyDescent="0.3">
      <c r="A3" s="21" t="s">
        <v>11</v>
      </c>
      <c r="B3" t="s">
        <v>395</v>
      </c>
      <c r="C3" t="s">
        <v>397</v>
      </c>
    </row>
    <row r="4" spans="1:3" x14ac:dyDescent="0.3">
      <c r="A4" s="22" t="s">
        <v>358</v>
      </c>
      <c r="B4" s="23">
        <v>33</v>
      </c>
      <c r="C4" s="14">
        <v>121884</v>
      </c>
    </row>
    <row r="5" spans="1:3" x14ac:dyDescent="0.3">
      <c r="A5" s="22" t="s">
        <v>39</v>
      </c>
      <c r="B5" s="23">
        <v>53</v>
      </c>
      <c r="C5" s="14">
        <v>184539</v>
      </c>
    </row>
    <row r="9" spans="1:3" x14ac:dyDescent="0.3">
      <c r="A9" s="22" t="s">
        <v>360</v>
      </c>
    </row>
    <row r="10" spans="1:3" x14ac:dyDescent="0.3">
      <c r="A10" s="21" t="s">
        <v>360</v>
      </c>
      <c r="B10" t="s">
        <v>398</v>
      </c>
      <c r="C10" t="s">
        <v>397</v>
      </c>
    </row>
    <row r="11" spans="1:3" x14ac:dyDescent="0.3">
      <c r="A11" s="22" t="s">
        <v>37</v>
      </c>
      <c r="B11" s="23">
        <v>86</v>
      </c>
      <c r="C11" s="14">
        <v>306423</v>
      </c>
    </row>
    <row r="17" spans="1:3" x14ac:dyDescent="0.3">
      <c r="A17" s="22" t="s">
        <v>399</v>
      </c>
    </row>
    <row r="19" spans="1:3" x14ac:dyDescent="0.3">
      <c r="A19" s="21" t="s">
        <v>386</v>
      </c>
      <c r="B19" s="21" t="s">
        <v>378</v>
      </c>
    </row>
    <row r="20" spans="1:3" x14ac:dyDescent="0.3">
      <c r="A20" s="21" t="s">
        <v>1</v>
      </c>
      <c r="B20" t="s">
        <v>24</v>
      </c>
      <c r="C20" t="s">
        <v>15</v>
      </c>
    </row>
    <row r="21" spans="1:3" x14ac:dyDescent="0.3">
      <c r="A21" s="22" t="s">
        <v>14</v>
      </c>
      <c r="B21" s="18"/>
      <c r="C21" s="18">
        <v>8.8046020093982283E-2</v>
      </c>
    </row>
    <row r="22" spans="1:3" x14ac:dyDescent="0.3">
      <c r="A22" s="22" t="s">
        <v>23</v>
      </c>
      <c r="B22" s="18">
        <v>0.1042061943385596</v>
      </c>
      <c r="C22" s="18"/>
    </row>
    <row r="27" spans="1:3" x14ac:dyDescent="0.3">
      <c r="A27" t="s">
        <v>400</v>
      </c>
    </row>
    <row r="28" spans="1:3" x14ac:dyDescent="0.3">
      <c r="A28" s="7" t="s">
        <v>461</v>
      </c>
    </row>
    <row r="29" spans="1:3" x14ac:dyDescent="0.3">
      <c r="A29" t="s">
        <v>462</v>
      </c>
    </row>
    <row r="30" spans="1:3" x14ac:dyDescent="0.3">
      <c r="A30" s="7" t="s">
        <v>463</v>
      </c>
    </row>
    <row r="31" spans="1:3" x14ac:dyDescent="0.3">
      <c r="A31" t="s">
        <v>464</v>
      </c>
    </row>
    <row r="33" spans="1:1" x14ac:dyDescent="0.3">
      <c r="A33" s="22"/>
    </row>
    <row r="34" spans="1:1" x14ac:dyDescent="0.3">
      <c r="A34" s="22"/>
    </row>
    <row r="35" spans="1:1" x14ac:dyDescent="0.3">
      <c r="A35" s="22"/>
    </row>
    <row r="36" spans="1:1" x14ac:dyDescent="0.3">
      <c r="A36" s="22"/>
    </row>
  </sheetData>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
  <sheetViews>
    <sheetView topLeftCell="A70" workbookViewId="0">
      <selection activeCell="B104" sqref="B104"/>
    </sheetView>
  </sheetViews>
  <sheetFormatPr defaultRowHeight="14.4" x14ac:dyDescent="0.3"/>
  <cols>
    <col min="1" max="1" width="10.5546875" customWidth="1"/>
    <col min="2" max="2" width="25.77734375" customWidth="1"/>
    <col min="3" max="3" width="6.88671875" customWidth="1"/>
    <col min="4" max="4" width="8.44140625" customWidth="1"/>
    <col min="5" max="5" width="10.77734375" customWidth="1"/>
    <col min="6" max="69" width="12" bestFit="1" customWidth="1"/>
  </cols>
  <sheetData>
    <row r="1" spans="1:4" x14ac:dyDescent="0.3">
      <c r="A1" t="s">
        <v>385</v>
      </c>
    </row>
    <row r="3" spans="1:4" x14ac:dyDescent="0.3">
      <c r="A3" s="21" t="s">
        <v>1</v>
      </c>
      <c r="B3" t="s">
        <v>386</v>
      </c>
    </row>
    <row r="4" spans="1:4" x14ac:dyDescent="0.3">
      <c r="A4" s="22" t="s">
        <v>14</v>
      </c>
      <c r="B4" s="18">
        <v>8.8046020093982283E-2</v>
      </c>
    </row>
    <row r="5" spans="1:4" x14ac:dyDescent="0.3">
      <c r="A5" s="22" t="s">
        <v>23</v>
      </c>
      <c r="B5" s="18">
        <v>0.1042061943385596</v>
      </c>
    </row>
    <row r="8" spans="1:4" x14ac:dyDescent="0.3">
      <c r="A8" s="22" t="s">
        <v>387</v>
      </c>
    </row>
    <row r="9" spans="1:4" x14ac:dyDescent="0.3">
      <c r="A9" s="22"/>
    </row>
    <row r="10" spans="1:4" x14ac:dyDescent="0.3">
      <c r="A10" s="21" t="s">
        <v>388</v>
      </c>
      <c r="B10" s="21" t="s">
        <v>378</v>
      </c>
    </row>
    <row r="11" spans="1:4" x14ac:dyDescent="0.3">
      <c r="A11" s="21" t="s">
        <v>440</v>
      </c>
      <c r="B11" t="s">
        <v>14</v>
      </c>
      <c r="C11" t="s">
        <v>23</v>
      </c>
      <c r="D11" t="s">
        <v>29</v>
      </c>
    </row>
    <row r="12" spans="1:4" x14ac:dyDescent="0.3">
      <c r="A12" s="25">
        <v>45908</v>
      </c>
      <c r="B12" s="18">
        <v>9.1194199159233963E-3</v>
      </c>
      <c r="C12" s="18">
        <v>1.7666324429429343E-3</v>
      </c>
      <c r="D12" s="18"/>
    </row>
    <row r="13" spans="1:4" x14ac:dyDescent="0.3">
      <c r="A13" s="25">
        <v>45901</v>
      </c>
      <c r="B13" s="18">
        <v>3.1996007837554212E-3</v>
      </c>
      <c r="C13" s="18">
        <v>3.6710630280192063E-3</v>
      </c>
      <c r="D13" s="18">
        <v>7.9729048800556194E-4</v>
      </c>
    </row>
    <row r="14" spans="1:4" x14ac:dyDescent="0.3">
      <c r="A14" s="25">
        <v>45894</v>
      </c>
      <c r="B14" s="18">
        <v>6.6754281661347186E-3</v>
      </c>
      <c r="C14" s="18">
        <v>3.9399561477483558E-3</v>
      </c>
      <c r="D14" s="18">
        <v>3.5959985838152297E-3</v>
      </c>
    </row>
    <row r="15" spans="1:4" x14ac:dyDescent="0.3">
      <c r="A15" s="25">
        <v>45887</v>
      </c>
      <c r="B15" s="18">
        <v>2.1136549728017671E-3</v>
      </c>
      <c r="C15" s="18">
        <v>1.823480339105339E-3</v>
      </c>
      <c r="D15" s="18">
        <v>5.5270456327116777E-3</v>
      </c>
    </row>
    <row r="16" spans="1:4" x14ac:dyDescent="0.3">
      <c r="A16" s="25">
        <v>45880</v>
      </c>
      <c r="B16" s="18">
        <v>2.6309839468870114E-3</v>
      </c>
      <c r="C16" s="18">
        <v>6.0271996703070265E-3</v>
      </c>
      <c r="D16" s="18">
        <v>6.6042394102916796E-3</v>
      </c>
    </row>
    <row r="17" spans="1:5" x14ac:dyDescent="0.3">
      <c r="A17" s="25">
        <v>45873</v>
      </c>
      <c r="B17" s="18">
        <v>7.6555792759910937E-3</v>
      </c>
      <c r="C17" s="18">
        <v>1.8650998332996943E-3</v>
      </c>
      <c r="D17" s="18">
        <v>3.9299078763469142E-3</v>
      </c>
    </row>
    <row r="18" spans="1:5" x14ac:dyDescent="0.3">
      <c r="A18" s="25">
        <v>45866</v>
      </c>
      <c r="B18" s="18">
        <v>4.669318378338316E-3</v>
      </c>
      <c r="C18" s="18">
        <v>1.0981480529715098E-2</v>
      </c>
      <c r="D18" s="18">
        <v>1.7084647221127316E-2</v>
      </c>
    </row>
    <row r="19" spans="1:5" x14ac:dyDescent="0.3">
      <c r="A19" s="25">
        <v>45859</v>
      </c>
      <c r="B19" s="18">
        <v>7.4721268454424738E-3</v>
      </c>
      <c r="C19" s="18">
        <v>3.1852844079273504E-3</v>
      </c>
      <c r="D19" s="18">
        <v>3.2454858113287115E-3</v>
      </c>
    </row>
    <row r="20" spans="1:5" x14ac:dyDescent="0.3">
      <c r="A20" s="25">
        <v>45852</v>
      </c>
      <c r="B20" s="18">
        <v>9.827213822894169E-3</v>
      </c>
      <c r="C20" s="18">
        <v>1.5181988769584942E-3</v>
      </c>
      <c r="D20" s="18">
        <v>2.6388003437092886E-3</v>
      </c>
    </row>
    <row r="21" spans="1:5" x14ac:dyDescent="0.3">
      <c r="A21" s="25">
        <v>45845</v>
      </c>
      <c r="B21" s="18">
        <v>3.3512794144334888E-3</v>
      </c>
      <c r="C21" s="18">
        <v>2.6668250067122413E-3</v>
      </c>
      <c r="D21" s="18">
        <v>3.1694785125105812E-3</v>
      </c>
    </row>
    <row r="22" spans="1:5" x14ac:dyDescent="0.3">
      <c r="A22" s="25">
        <v>45838</v>
      </c>
      <c r="B22" s="18">
        <v>2.2401847575057735E-3</v>
      </c>
      <c r="C22" s="18">
        <v>1.208595326242385E-2</v>
      </c>
      <c r="D22" s="18">
        <v>6.4765009508285796E-3</v>
      </c>
    </row>
    <row r="23" spans="1:5" x14ac:dyDescent="0.3">
      <c r="A23" s="25">
        <v>45831</v>
      </c>
      <c r="B23" s="18">
        <v>1.1452908859898713E-3</v>
      </c>
      <c r="C23" s="18">
        <v>2.1127444317144686E-3</v>
      </c>
      <c r="D23" s="18">
        <v>3.3553365983339462E-3</v>
      </c>
    </row>
    <row r="24" spans="1:5" x14ac:dyDescent="0.3">
      <c r="A24" s="25">
        <v>45824</v>
      </c>
      <c r="B24" s="18">
        <v>2.4617598408673293E-3</v>
      </c>
      <c r="C24" s="18">
        <v>5.1721119722456512E-3</v>
      </c>
      <c r="D24" s="18">
        <v>5.4388566363352828E-3</v>
      </c>
    </row>
    <row r="25" spans="1:5" x14ac:dyDescent="0.3">
      <c r="A25" s="25">
        <v>45817</v>
      </c>
      <c r="B25" s="18">
        <v>1.1327664328719508E-2</v>
      </c>
      <c r="C25" s="18">
        <v>1.5942232850377457E-3</v>
      </c>
      <c r="D25" s="18">
        <v>4.1211031333606603E-3</v>
      </c>
    </row>
    <row r="26" spans="1:5" x14ac:dyDescent="0.3">
      <c r="A26" s="25">
        <v>45810</v>
      </c>
      <c r="B26" s="18">
        <v>1.2413909189098204E-3</v>
      </c>
      <c r="C26" s="18">
        <v>9.6542972769051369E-3</v>
      </c>
      <c r="D26" s="18">
        <v>4.9181461441388493E-3</v>
      </c>
    </row>
    <row r="27" spans="1:5" x14ac:dyDescent="0.3">
      <c r="A27" s="25">
        <v>45803</v>
      </c>
      <c r="B27" s="18">
        <v>3.8281206906062111E-3</v>
      </c>
      <c r="C27" s="18">
        <v>3.7470607409939207E-3</v>
      </c>
      <c r="D27" s="18">
        <v>2.005770990217468E-3</v>
      </c>
    </row>
    <row r="28" spans="1:5" x14ac:dyDescent="0.3">
      <c r="A28" s="25">
        <v>45796</v>
      </c>
      <c r="B28" s="18">
        <v>7.872087032172511E-3</v>
      </c>
      <c r="C28" s="18">
        <v>4.1466368206671319E-3</v>
      </c>
      <c r="D28" s="18">
        <v>7.5491490264485411E-3</v>
      </c>
    </row>
    <row r="29" spans="1:5" x14ac:dyDescent="0.3">
      <c r="A29" s="25">
        <v>45789</v>
      </c>
      <c r="B29" s="18">
        <v>1.5731300645365684E-3</v>
      </c>
      <c r="C29" s="18">
        <v>2.6547884187082403E-3</v>
      </c>
      <c r="D29" s="18">
        <v>1.4915157677349929E-3</v>
      </c>
    </row>
    <row r="30" spans="1:5" x14ac:dyDescent="0.3">
      <c r="A30" s="25">
        <v>45782</v>
      </c>
      <c r="B30" s="18">
        <v>2.5976522198761379E-3</v>
      </c>
      <c r="C30" s="18">
        <v>2.5507605115104954E-3</v>
      </c>
      <c r="D30" s="18">
        <v>1.9790880672631238E-3</v>
      </c>
    </row>
    <row r="31" spans="1:5" x14ac:dyDescent="0.3">
      <c r="A31" s="25">
        <v>45775</v>
      </c>
      <c r="B31" s="18">
        <v>3.7778051067623862E-3</v>
      </c>
      <c r="C31" s="18">
        <v>2.0509887813384732E-3</v>
      </c>
      <c r="D31" s="18">
        <v>2.9339148299662998E-3</v>
      </c>
    </row>
    <row r="32" spans="1:5" x14ac:dyDescent="0.3">
      <c r="A32" s="25">
        <v>45768</v>
      </c>
      <c r="B32" s="18">
        <v>1.0988053215795403E-3</v>
      </c>
      <c r="C32" s="18">
        <v>1.4351099955706482E-3</v>
      </c>
      <c r="D32" s="18">
        <v>3.2565414723670183E-3</v>
      </c>
      <c r="E32" s="7" t="s">
        <v>467</v>
      </c>
    </row>
    <row r="33" spans="1:5" x14ac:dyDescent="0.3">
      <c r="A33" s="25">
        <v>45761</v>
      </c>
      <c r="B33" s="18">
        <v>1.9961869935398759E-3</v>
      </c>
      <c r="C33" s="18">
        <v>6.2397756485160086E-3</v>
      </c>
      <c r="D33" s="18">
        <v>4.6142223427541986E-3</v>
      </c>
      <c r="E33" t="s">
        <v>468</v>
      </c>
    </row>
    <row r="34" spans="1:5" x14ac:dyDescent="0.3">
      <c r="A34" s="25">
        <v>45754</v>
      </c>
      <c r="B34" s="18">
        <v>3.9209705941868752E-3</v>
      </c>
      <c r="C34" s="18">
        <v>2.9814935695005556E-3</v>
      </c>
      <c r="D34" s="18">
        <v>3.6902252215116576E-3</v>
      </c>
    </row>
    <row r="35" spans="1:5" x14ac:dyDescent="0.3">
      <c r="A35" s="25">
        <v>45747</v>
      </c>
      <c r="B35" s="18">
        <v>3.1475371965261584E-3</v>
      </c>
      <c r="C35" s="18">
        <v>9.0792625187990864E-3</v>
      </c>
      <c r="D35" s="18">
        <v>6.7594964249334932E-3</v>
      </c>
    </row>
    <row r="36" spans="1:5" x14ac:dyDescent="0.3">
      <c r="A36" s="25">
        <v>45740</v>
      </c>
      <c r="B36" s="18">
        <v>3.0555240088474996E-3</v>
      </c>
      <c r="C36" s="18">
        <v>6.5302778380201933E-3</v>
      </c>
      <c r="D36" s="18">
        <v>3.2720751898231166E-3</v>
      </c>
    </row>
    <row r="37" spans="1:5" x14ac:dyDescent="0.3">
      <c r="A37" s="25">
        <v>45733</v>
      </c>
      <c r="B37" s="18">
        <v>1.9052058737091724E-3</v>
      </c>
      <c r="C37" s="18">
        <v>1.4348198375413667E-3</v>
      </c>
      <c r="D37" s="18">
        <v>4.2810298761233904E-3</v>
      </c>
    </row>
    <row r="38" spans="1:5" x14ac:dyDescent="0.3">
      <c r="A38" s="25">
        <v>45726</v>
      </c>
      <c r="B38" s="18">
        <v>1.8468941678809856E-3</v>
      </c>
      <c r="C38" s="18">
        <v>5.1540047386073422E-3</v>
      </c>
      <c r="D38" s="18">
        <v>2.2450476889214967E-3</v>
      </c>
    </row>
    <row r="39" spans="1:5" x14ac:dyDescent="0.3">
      <c r="A39" s="25">
        <v>45719</v>
      </c>
      <c r="B39" s="18">
        <v>1.0984575217286749E-2</v>
      </c>
      <c r="C39" s="18">
        <v>7.8900723125911749E-3</v>
      </c>
      <c r="D39" s="18">
        <v>1.7409229805475531E-3</v>
      </c>
    </row>
    <row r="40" spans="1:5" x14ac:dyDescent="0.3">
      <c r="A40" s="25">
        <v>45712</v>
      </c>
      <c r="B40" s="18">
        <v>1.0896826083196401E-3</v>
      </c>
      <c r="C40" s="18">
        <v>3.7818873758696555E-3</v>
      </c>
      <c r="D40" s="18">
        <v>1.8949662755644234E-3</v>
      </c>
    </row>
    <row r="41" spans="1:5" x14ac:dyDescent="0.3">
      <c r="A41" s="25">
        <v>45705</v>
      </c>
      <c r="B41" s="18">
        <v>4.0817246978170664E-3</v>
      </c>
      <c r="C41" s="18">
        <v>2.3280135960016494E-3</v>
      </c>
      <c r="D41" s="18">
        <v>1.0583174536168594E-3</v>
      </c>
    </row>
    <row r="42" spans="1:5" x14ac:dyDescent="0.3">
      <c r="A42" s="25">
        <v>45698</v>
      </c>
      <c r="B42" s="18">
        <v>3.0798747854185599E-3</v>
      </c>
      <c r="C42" s="18">
        <v>1.2038244241634072E-2</v>
      </c>
      <c r="D42" s="18">
        <v>1.9357425118836263E-3</v>
      </c>
    </row>
    <row r="43" spans="1:5" x14ac:dyDescent="0.3">
      <c r="A43" s="25">
        <v>45691</v>
      </c>
      <c r="B43" s="18">
        <v>2.3334666742861497E-3</v>
      </c>
      <c r="C43" s="18">
        <v>6.8852027382833069E-3</v>
      </c>
      <c r="D43" s="18">
        <v>1.1697559866836308E-3</v>
      </c>
    </row>
    <row r="44" spans="1:5" x14ac:dyDescent="0.3">
      <c r="A44" s="25">
        <v>45684</v>
      </c>
      <c r="B44" s="18">
        <v>9.2415931314094918E-4</v>
      </c>
      <c r="C44" s="18">
        <v>5.1939513477975013E-3</v>
      </c>
      <c r="D44" s="18">
        <v>3.685623501752981E-3</v>
      </c>
    </row>
    <row r="45" spans="1:5" x14ac:dyDescent="0.3">
      <c r="A45" s="25">
        <v>45677</v>
      </c>
      <c r="B45" s="18">
        <v>1.3487040845594743E-3</v>
      </c>
      <c r="C45" s="18">
        <v>2.0100280520398473E-3</v>
      </c>
      <c r="D45" s="18">
        <v>2.5280739012313877E-3</v>
      </c>
    </row>
    <row r="46" spans="1:5" x14ac:dyDescent="0.3">
      <c r="A46" s="25">
        <v>45670</v>
      </c>
      <c r="B46" s="18">
        <v>1.3793673813581599E-3</v>
      </c>
      <c r="C46" s="18">
        <v>3.960732004118693E-3</v>
      </c>
      <c r="D46" s="18">
        <v>2.9568975321278288E-3</v>
      </c>
    </row>
    <row r="47" spans="1:5" x14ac:dyDescent="0.3">
      <c r="A47" s="25">
        <v>45663</v>
      </c>
      <c r="B47" s="18">
        <v>3.1809630491290049E-3</v>
      </c>
      <c r="C47" s="18">
        <v>8.2282093543773697E-3</v>
      </c>
      <c r="D47" s="18">
        <v>2.8057492705051896E-3</v>
      </c>
    </row>
    <row r="48" spans="1:5" x14ac:dyDescent="0.3">
      <c r="A48" s="25">
        <v>45656</v>
      </c>
      <c r="B48" s="18">
        <v>1.7165562473503519E-3</v>
      </c>
      <c r="C48" s="18">
        <v>3.7157691133055076E-3</v>
      </c>
      <c r="D48" s="18">
        <v>4.3562203906807708E-3</v>
      </c>
    </row>
    <row r="49" spans="1:4" x14ac:dyDescent="0.3">
      <c r="A49" s="25">
        <v>45649</v>
      </c>
      <c r="B49" s="18">
        <v>4.8653658034289241E-3</v>
      </c>
      <c r="C49" s="18">
        <v>6.4046760353189906E-3</v>
      </c>
      <c r="D49" s="18">
        <v>2.60081206532016E-3</v>
      </c>
    </row>
    <row r="50" spans="1:4" x14ac:dyDescent="0.3">
      <c r="A50" s="25">
        <v>45642</v>
      </c>
      <c r="B50" s="18">
        <v>6.506669773402458E-3</v>
      </c>
      <c r="C50" s="18">
        <v>2.7987701840030041E-3</v>
      </c>
      <c r="D50" s="18">
        <v>7.8332145402708487E-3</v>
      </c>
    </row>
    <row r="51" spans="1:4" x14ac:dyDescent="0.3">
      <c r="A51" s="25">
        <v>45635</v>
      </c>
      <c r="B51" s="18">
        <v>1.7677812464738406E-3</v>
      </c>
      <c r="C51" s="18">
        <v>3.8344284334702996E-3</v>
      </c>
      <c r="D51" s="18">
        <v>3.2086280175382597E-3</v>
      </c>
    </row>
    <row r="52" spans="1:4" x14ac:dyDescent="0.3">
      <c r="A52" s="25">
        <v>45628</v>
      </c>
      <c r="B52" s="18">
        <v>4.7176696580273365E-3</v>
      </c>
      <c r="C52" s="18">
        <v>7.8261885293774095E-3</v>
      </c>
      <c r="D52" s="18">
        <v>2.0028848369668811E-3</v>
      </c>
    </row>
    <row r="53" spans="1:4" x14ac:dyDescent="0.3">
      <c r="A53" s="25">
        <v>45621</v>
      </c>
      <c r="B53" s="18">
        <v>1.2759550523566889E-3</v>
      </c>
      <c r="C53" s="18">
        <v>4.2439230501565839E-3</v>
      </c>
      <c r="D53" s="18">
        <v>5.8524314976443207E-3</v>
      </c>
    </row>
    <row r="54" spans="1:4" x14ac:dyDescent="0.3">
      <c r="A54" s="25">
        <v>45614</v>
      </c>
      <c r="B54" s="18">
        <v>2.741648314656868E-3</v>
      </c>
      <c r="C54" s="18">
        <v>5.0288483327232481E-3</v>
      </c>
      <c r="D54" s="18">
        <v>2.0449775112443779E-3</v>
      </c>
    </row>
    <row r="55" spans="1:4" x14ac:dyDescent="0.3">
      <c r="A55" s="25">
        <v>45607</v>
      </c>
      <c r="B55" s="18">
        <v>3.9281193313061976E-3</v>
      </c>
      <c r="C55" s="18">
        <v>2.6275238057607967E-3</v>
      </c>
      <c r="D55" s="18">
        <v>4.6556860536239985E-3</v>
      </c>
    </row>
    <row r="56" spans="1:4" x14ac:dyDescent="0.3">
      <c r="A56" s="25">
        <v>45600</v>
      </c>
      <c r="B56" s="18">
        <v>3.6781918718691762E-3</v>
      </c>
      <c r="C56" s="18">
        <v>3.9842122008616216E-3</v>
      </c>
      <c r="D56" s="18">
        <v>8.0175996088975802E-3</v>
      </c>
    </row>
    <row r="57" spans="1:4" x14ac:dyDescent="0.3">
      <c r="A57" s="25">
        <v>45593</v>
      </c>
      <c r="B57" s="18">
        <v>3.8051035059458792E-3</v>
      </c>
      <c r="C57" s="18">
        <v>1.5788005199153436E-3</v>
      </c>
      <c r="D57" s="18">
        <v>3.6774665438586984E-3</v>
      </c>
    </row>
    <row r="58" spans="1:4" x14ac:dyDescent="0.3">
      <c r="A58" s="25">
        <v>45586</v>
      </c>
      <c r="B58" s="18">
        <v>1.0915497012055407E-2</v>
      </c>
      <c r="C58" s="18">
        <v>5.3980915408646862E-3</v>
      </c>
      <c r="D58" s="18">
        <v>7.2173750633688196E-3</v>
      </c>
    </row>
    <row r="59" spans="1:4" x14ac:dyDescent="0.3">
      <c r="A59" s="25">
        <v>45579</v>
      </c>
      <c r="B59" s="18">
        <v>4.7398149771776844E-3</v>
      </c>
      <c r="C59" s="18">
        <v>1.8353650184906177E-3</v>
      </c>
      <c r="D59" s="18">
        <v>3.8177207407976638E-3</v>
      </c>
    </row>
    <row r="60" spans="1:4" x14ac:dyDescent="0.3">
      <c r="A60" s="25">
        <v>45572</v>
      </c>
      <c r="B60" s="18">
        <v>1.7507375647522346E-3</v>
      </c>
      <c r="C60" s="18">
        <v>2.8850860838862216E-3</v>
      </c>
      <c r="D60" s="18">
        <v>8.0878372132944243E-3</v>
      </c>
    </row>
    <row r="61" spans="1:4" x14ac:dyDescent="0.3">
      <c r="A61" s="25">
        <v>45565</v>
      </c>
      <c r="B61" s="18">
        <v>3.0190531054641659E-3</v>
      </c>
      <c r="C61" s="18">
        <v>4.6946006530167259E-3</v>
      </c>
      <c r="D61" s="18">
        <v>3.2768049617799048E-3</v>
      </c>
    </row>
    <row r="62" spans="1:4" x14ac:dyDescent="0.3">
      <c r="A62" s="25">
        <v>45558</v>
      </c>
      <c r="B62" s="18">
        <v>1.3784135240572171E-2</v>
      </c>
      <c r="C62" s="18">
        <v>3.305365562946797E-3</v>
      </c>
      <c r="D62" s="18">
        <v>1.3748256088824177E-3</v>
      </c>
    </row>
    <row r="63" spans="1:4" x14ac:dyDescent="0.3">
      <c r="A63" s="25">
        <v>45551</v>
      </c>
      <c r="B63" s="18">
        <v>1.8947546272643525E-3</v>
      </c>
      <c r="C63" s="18">
        <v>3.4796436801746559E-3</v>
      </c>
      <c r="D63" s="18">
        <v>2.2541306944976669E-3</v>
      </c>
    </row>
    <row r="64" spans="1:4" x14ac:dyDescent="0.3">
      <c r="A64" s="25">
        <v>45544</v>
      </c>
      <c r="B64" s="18">
        <v>1.7288453918263881E-3</v>
      </c>
      <c r="C64" s="18">
        <v>4.7123181781018424E-3</v>
      </c>
      <c r="D64" s="18">
        <v>2.3319170287838973E-3</v>
      </c>
    </row>
    <row r="65" spans="1:4" x14ac:dyDescent="0.3">
      <c r="A65" s="25">
        <v>45537</v>
      </c>
      <c r="B65" s="18">
        <v>1.5378321642822803E-3</v>
      </c>
      <c r="C65" s="18">
        <v>2.6618404566337186E-3</v>
      </c>
      <c r="D65" s="18">
        <v>2.8775171297394605E-3</v>
      </c>
    </row>
    <row r="66" spans="1:4" x14ac:dyDescent="0.3">
      <c r="A66" s="25">
        <v>45530</v>
      </c>
      <c r="B66" s="18">
        <v>5.2519335029163131E-3</v>
      </c>
      <c r="C66" s="18">
        <v>1.1090510417460359E-3</v>
      </c>
      <c r="D66" s="18">
        <v>4.3018845648676966E-3</v>
      </c>
    </row>
    <row r="67" spans="1:4" x14ac:dyDescent="0.3">
      <c r="A67" s="25">
        <v>45523</v>
      </c>
      <c r="B67" s="18">
        <v>2.5711521816608116E-3</v>
      </c>
      <c r="C67" s="18">
        <v>6.2169419806330862E-3</v>
      </c>
      <c r="D67" s="18">
        <v>6.1138546368952043E-3</v>
      </c>
    </row>
    <row r="68" spans="1:4" x14ac:dyDescent="0.3">
      <c r="A68" s="25">
        <v>45516</v>
      </c>
      <c r="B68" s="18">
        <v>1.4216285431581398E-2</v>
      </c>
      <c r="C68" s="18">
        <v>1.031124193757846E-2</v>
      </c>
      <c r="D68" s="18">
        <v>3.2668165162148292E-3</v>
      </c>
    </row>
    <row r="69" spans="1:4" x14ac:dyDescent="0.3">
      <c r="A69" s="25">
        <v>45509</v>
      </c>
      <c r="B69" s="18">
        <v>6.7435554935305723E-3</v>
      </c>
      <c r="C69" s="18">
        <v>4.3839826448522105E-3</v>
      </c>
      <c r="D69" s="18">
        <v>2.3829134417695176E-3</v>
      </c>
    </row>
    <row r="70" spans="1:4" x14ac:dyDescent="0.3">
      <c r="A70" s="25">
        <v>45502</v>
      </c>
      <c r="B70" s="18">
        <v>2.3089717768720206E-3</v>
      </c>
      <c r="C70" s="18">
        <v>5.2125958475504573E-3</v>
      </c>
      <c r="D70" s="18">
        <v>2.4107127645679174E-3</v>
      </c>
    </row>
    <row r="71" spans="1:4" x14ac:dyDescent="0.3">
      <c r="A71" s="25">
        <v>45495</v>
      </c>
      <c r="B71" s="18">
        <v>3.8800515380583087E-3</v>
      </c>
      <c r="C71" s="18">
        <v>1.3666228646517741E-3</v>
      </c>
      <c r="D71" s="18">
        <v>2.9558125725816196E-3</v>
      </c>
    </row>
    <row r="72" spans="1:4" x14ac:dyDescent="0.3">
      <c r="A72" s="25">
        <v>45488</v>
      </c>
      <c r="B72" s="18">
        <v>2.1159343412017798E-3</v>
      </c>
      <c r="C72" s="18">
        <v>4.1633646660018432E-3</v>
      </c>
      <c r="D72" s="18">
        <v>4.4074791828765565E-3</v>
      </c>
    </row>
    <row r="73" spans="1:4" x14ac:dyDescent="0.3">
      <c r="A73" s="25">
        <v>45481</v>
      </c>
      <c r="B73" s="18">
        <v>1.9610667968164271E-3</v>
      </c>
      <c r="C73" s="18">
        <v>1.7836234485988603E-2</v>
      </c>
      <c r="D73" s="18">
        <v>5.7836390843520723E-3</v>
      </c>
    </row>
    <row r="74" spans="1:4" x14ac:dyDescent="0.3">
      <c r="A74" s="25">
        <v>45474</v>
      </c>
      <c r="B74" s="18">
        <v>3.9974246283906723E-3</v>
      </c>
      <c r="C74" s="18">
        <v>2.7265062228494967E-3</v>
      </c>
      <c r="D74" s="18">
        <v>3.7184126339477423E-3</v>
      </c>
    </row>
    <row r="75" spans="1:4" x14ac:dyDescent="0.3">
      <c r="A75" s="25">
        <v>45467</v>
      </c>
      <c r="B75" s="18">
        <v>7.0194756038813571E-3</v>
      </c>
      <c r="C75" s="18">
        <v>8.7155963302752298E-3</v>
      </c>
      <c r="D75" s="18">
        <v>5.5548942586200059E-3</v>
      </c>
    </row>
    <row r="76" spans="1:4" x14ac:dyDescent="0.3">
      <c r="A76" s="25">
        <v>45460</v>
      </c>
      <c r="B76" s="18">
        <v>6.1532043593888509E-3</v>
      </c>
      <c r="C76" s="18">
        <v>5.2165710498603361E-3</v>
      </c>
      <c r="D76" s="18">
        <v>5.1990991422684362E-3</v>
      </c>
    </row>
    <row r="77" spans="1:4" x14ac:dyDescent="0.3">
      <c r="A77" s="25">
        <v>45453</v>
      </c>
      <c r="B77" s="18">
        <v>1.0035253152237385E-2</v>
      </c>
      <c r="C77" s="18">
        <v>4.247465810484582E-3</v>
      </c>
      <c r="D77" s="18">
        <v>1.1541771253329111E-3</v>
      </c>
    </row>
    <row r="78" spans="1:4" x14ac:dyDescent="0.3">
      <c r="A78" s="25">
        <v>45446</v>
      </c>
      <c r="B78" s="18">
        <v>1.0709526179733787E-2</v>
      </c>
      <c r="C78" s="18">
        <v>3.9875766588582107E-3</v>
      </c>
      <c r="D78" s="18">
        <v>3.176300905893983E-3</v>
      </c>
    </row>
    <row r="81" spans="1:5" x14ac:dyDescent="0.3">
      <c r="A81" t="s">
        <v>389</v>
      </c>
    </row>
    <row r="83" spans="1:5" x14ac:dyDescent="0.3">
      <c r="A83" s="21" t="s">
        <v>1</v>
      </c>
      <c r="B83" t="s">
        <v>392</v>
      </c>
    </row>
    <row r="84" spans="1:5" x14ac:dyDescent="0.3">
      <c r="A84" s="22" t="s">
        <v>14</v>
      </c>
      <c r="B84" s="14">
        <v>15461.820895522387</v>
      </c>
    </row>
    <row r="85" spans="1:5" x14ac:dyDescent="0.3">
      <c r="A85" s="22" t="s">
        <v>23</v>
      </c>
      <c r="B85" s="14">
        <v>16629.910447761195</v>
      </c>
    </row>
    <row r="86" spans="1:5" x14ac:dyDescent="0.3">
      <c r="A86" s="22" t="s">
        <v>29</v>
      </c>
      <c r="B86" s="14">
        <v>16148.212121212122</v>
      </c>
    </row>
    <row r="87" spans="1:5" x14ac:dyDescent="0.3">
      <c r="E87" s="7" t="s">
        <v>465</v>
      </c>
    </row>
    <row r="88" spans="1:5" x14ac:dyDescent="0.3">
      <c r="E88" t="s">
        <v>466</v>
      </c>
    </row>
    <row r="89" spans="1:5" x14ac:dyDescent="0.3">
      <c r="A89" s="21" t="s">
        <v>1</v>
      </c>
      <c r="B89" t="s">
        <v>386</v>
      </c>
    </row>
    <row r="90" spans="1:5" x14ac:dyDescent="0.3">
      <c r="A90" s="22" t="s">
        <v>14</v>
      </c>
      <c r="B90" s="18">
        <v>8.8046020093982283E-2</v>
      </c>
    </row>
    <row r="91" spans="1:5" x14ac:dyDescent="0.3">
      <c r="A91" s="22" t="s">
        <v>23</v>
      </c>
      <c r="B91" s="18">
        <v>0.1042061943385596</v>
      </c>
    </row>
    <row r="94" spans="1:5" x14ac:dyDescent="0.3">
      <c r="A94" s="22" t="s">
        <v>393</v>
      </c>
    </row>
  </sheetData>
  <pageMargins left="0.7" right="0.7" top="0.75" bottom="0.75" header="0.3" footer="0.3"/>
  <pageSetup orientation="portrait"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1"/>
  <sheetViews>
    <sheetView topLeftCell="A19" workbookViewId="0">
      <selection activeCell="B38" sqref="B38"/>
    </sheetView>
  </sheetViews>
  <sheetFormatPr defaultRowHeight="14.4" x14ac:dyDescent="0.3"/>
  <cols>
    <col min="1" max="1" width="17.21875" customWidth="1"/>
    <col min="2" max="2" width="15.33203125" customWidth="1"/>
    <col min="3" max="3" width="13.109375" customWidth="1"/>
    <col min="4" max="4" width="15.6640625" customWidth="1"/>
    <col min="5" max="5" width="15.33203125" customWidth="1"/>
    <col min="6" max="7" width="6" customWidth="1"/>
    <col min="8" max="8" width="16.6640625" customWidth="1"/>
    <col min="9" max="10" width="6" customWidth="1"/>
    <col min="11" max="11" width="16.33203125" customWidth="1"/>
    <col min="12" max="12" width="17.88671875" customWidth="1"/>
    <col min="13" max="13" width="21.5546875" customWidth="1"/>
    <col min="14" max="14" width="10.109375" bestFit="1" customWidth="1"/>
    <col min="15" max="17" width="9.44140625" bestFit="1" customWidth="1"/>
    <col min="18" max="18" width="9.21875" bestFit="1" customWidth="1"/>
    <col min="19" max="19" width="16.6640625" bestFit="1" customWidth="1"/>
    <col min="20" max="20" width="9.21875" bestFit="1" customWidth="1"/>
    <col min="21" max="22" width="9.44140625" bestFit="1" customWidth="1"/>
    <col min="23" max="23" width="10.109375" bestFit="1" customWidth="1"/>
    <col min="24" max="26" width="9.44140625" bestFit="1" customWidth="1"/>
    <col min="27" max="27" width="9.21875" bestFit="1" customWidth="1"/>
    <col min="28" max="28" width="16.33203125" bestFit="1" customWidth="1"/>
    <col min="29" max="29" width="17.88671875" bestFit="1" customWidth="1"/>
    <col min="30" max="30" width="21.5546875" bestFit="1" customWidth="1"/>
  </cols>
  <sheetData>
    <row r="2" spans="1:2" x14ac:dyDescent="0.3">
      <c r="A2" t="s">
        <v>373</v>
      </c>
    </row>
    <row r="3" spans="1:2" x14ac:dyDescent="0.3">
      <c r="A3" s="21" t="s">
        <v>439</v>
      </c>
      <c r="B3" t="s">
        <v>386</v>
      </c>
    </row>
    <row r="4" spans="1:2" x14ac:dyDescent="0.3">
      <c r="A4" s="22" t="s">
        <v>16</v>
      </c>
      <c r="B4" s="18">
        <v>8.4147145780507721E-2</v>
      </c>
    </row>
    <row r="5" spans="1:2" x14ac:dyDescent="0.3">
      <c r="A5" s="22" t="s">
        <v>19</v>
      </c>
      <c r="B5" s="18">
        <v>9.8512882188744086E-2</v>
      </c>
    </row>
    <row r="6" spans="1:2" x14ac:dyDescent="0.3">
      <c r="A6" s="22" t="s">
        <v>43</v>
      </c>
      <c r="B6" s="18">
        <v>5.8569156787750744E-2</v>
      </c>
    </row>
    <row r="7" spans="1:2" x14ac:dyDescent="0.3">
      <c r="A7" s="22" t="s">
        <v>34</v>
      </c>
      <c r="B7" s="18">
        <v>0.13289034049926018</v>
      </c>
    </row>
    <row r="8" spans="1:2" x14ac:dyDescent="0.3">
      <c r="A8" s="22" t="s">
        <v>30</v>
      </c>
      <c r="B8" s="18">
        <v>9.4329923831438192E-2</v>
      </c>
    </row>
    <row r="9" spans="1:2" x14ac:dyDescent="0.3">
      <c r="A9" s="22" t="s">
        <v>25</v>
      </c>
      <c r="B9" s="18">
        <v>0.1088306228101783</v>
      </c>
    </row>
    <row r="10" spans="1:2" x14ac:dyDescent="0.3">
      <c r="A10" s="22" t="s">
        <v>77</v>
      </c>
      <c r="B10" s="18">
        <v>9.6066529170710527E-2</v>
      </c>
    </row>
    <row r="11" spans="1:2" x14ac:dyDescent="0.3">
      <c r="A11" s="22" t="s">
        <v>32</v>
      </c>
      <c r="B11" s="18">
        <v>0.11163945284184459</v>
      </c>
    </row>
    <row r="12" spans="1:2" x14ac:dyDescent="0.3">
      <c r="A12" s="22" t="s">
        <v>27</v>
      </c>
      <c r="B12" s="18">
        <v>9.0188295663678586E-2</v>
      </c>
    </row>
    <row r="13" spans="1:2" x14ac:dyDescent="0.3">
      <c r="A13" s="22" t="s">
        <v>45</v>
      </c>
      <c r="B13" s="18">
        <v>8.590941260242746E-2</v>
      </c>
    </row>
    <row r="15" spans="1:2" x14ac:dyDescent="0.3">
      <c r="A15" s="22" t="s">
        <v>374</v>
      </c>
    </row>
    <row r="17" spans="1:5" x14ac:dyDescent="0.3">
      <c r="A17" s="21" t="s">
        <v>441</v>
      </c>
      <c r="B17" t="s">
        <v>375</v>
      </c>
      <c r="C17" t="s">
        <v>376</v>
      </c>
      <c r="D17" t="s">
        <v>377</v>
      </c>
    </row>
    <row r="18" spans="1:5" x14ac:dyDescent="0.3">
      <c r="A18" s="22" t="s">
        <v>14</v>
      </c>
      <c r="B18" s="23">
        <v>92898</v>
      </c>
      <c r="C18" s="23">
        <v>11075</v>
      </c>
      <c r="D18" s="23">
        <v>7207</v>
      </c>
    </row>
    <row r="19" spans="1:5" x14ac:dyDescent="0.3">
      <c r="A19" s="24" t="s">
        <v>15</v>
      </c>
      <c r="B19" s="23">
        <v>92898</v>
      </c>
      <c r="C19" s="23">
        <v>11075</v>
      </c>
      <c r="D19" s="23">
        <v>7207</v>
      </c>
    </row>
    <row r="20" spans="1:5" x14ac:dyDescent="0.3">
      <c r="A20" s="22" t="s">
        <v>23</v>
      </c>
      <c r="B20" s="23">
        <v>167836</v>
      </c>
      <c r="C20" s="23">
        <v>15643</v>
      </c>
      <c r="D20" s="23">
        <v>11764</v>
      </c>
    </row>
    <row r="21" spans="1:5" x14ac:dyDescent="0.3">
      <c r="A21" s="24" t="s">
        <v>24</v>
      </c>
      <c r="B21" s="23">
        <v>167836</v>
      </c>
      <c r="C21" s="23">
        <v>15643</v>
      </c>
      <c r="D21" s="23">
        <v>11764</v>
      </c>
    </row>
    <row r="28" spans="1:5" x14ac:dyDescent="0.3">
      <c r="A28" s="24" t="s">
        <v>379</v>
      </c>
    </row>
    <row r="29" spans="1:5" x14ac:dyDescent="0.3">
      <c r="A29" s="24" t="s">
        <v>380</v>
      </c>
      <c r="D29" t="s">
        <v>381</v>
      </c>
    </row>
    <row r="30" spans="1:5" x14ac:dyDescent="0.3">
      <c r="A30" s="21" t="s">
        <v>380</v>
      </c>
      <c r="B30" t="s">
        <v>382</v>
      </c>
      <c r="D30" s="21" t="s">
        <v>442</v>
      </c>
      <c r="E30" t="s">
        <v>382</v>
      </c>
    </row>
    <row r="31" spans="1:5" x14ac:dyDescent="0.3">
      <c r="A31" s="22" t="s">
        <v>358</v>
      </c>
      <c r="B31" s="14">
        <v>171.87878787878788</v>
      </c>
      <c r="C31" s="12"/>
      <c r="D31" s="22" t="s">
        <v>37</v>
      </c>
      <c r="E31" s="14">
        <v>184.06976744186048</v>
      </c>
    </row>
    <row r="32" spans="1:5" x14ac:dyDescent="0.3">
      <c r="A32" s="22" t="s">
        <v>39</v>
      </c>
      <c r="B32" s="14">
        <v>191.66037735849056</v>
      </c>
      <c r="C32" s="12"/>
    </row>
    <row r="33" spans="1:3" x14ac:dyDescent="0.3">
      <c r="C33" s="12"/>
    </row>
    <row r="34" spans="1:3" x14ac:dyDescent="0.3">
      <c r="C34" s="12"/>
    </row>
    <row r="35" spans="1:3" x14ac:dyDescent="0.3">
      <c r="C35" s="12"/>
    </row>
    <row r="36" spans="1:3" x14ac:dyDescent="0.3">
      <c r="A36" s="22" t="s">
        <v>384</v>
      </c>
    </row>
    <row r="37" spans="1:3" x14ac:dyDescent="0.3">
      <c r="A37" s="21" t="s">
        <v>380</v>
      </c>
      <c r="B37" t="s">
        <v>382</v>
      </c>
      <c r="C37" s="7" t="s">
        <v>383</v>
      </c>
    </row>
    <row r="38" spans="1:3" x14ac:dyDescent="0.3">
      <c r="A38" s="22" t="s">
        <v>358</v>
      </c>
      <c r="B38" s="14">
        <v>171.87878787878788</v>
      </c>
      <c r="C38" t="e">
        <f>RANK(GETPIVOTDATA("Clicks",$A$37,"Hashtags Used","#DiscoverWeekly"),B38:B41,0)</f>
        <v>#REF!</v>
      </c>
    </row>
    <row r="39" spans="1:3" x14ac:dyDescent="0.3">
      <c r="A39" s="22" t="s">
        <v>39</v>
      </c>
      <c r="B39" s="14">
        <v>191.66037735849056</v>
      </c>
      <c r="C39">
        <f>RANK(GETPIVOTDATA("Clicks",$A$37,"Hashtags Used","#MusicForEveryone"),B38:B41,0)</f>
        <v>2</v>
      </c>
    </row>
    <row r="40" spans="1:3" x14ac:dyDescent="0.3">
      <c r="C40" t="e">
        <f>RANK(GETPIVOTDATA("Clicks",$A$37,"Hashtags Used","#NowPlaying"),B38:B41,0)</f>
        <v>#REF!</v>
      </c>
    </row>
    <row r="41" spans="1:3" x14ac:dyDescent="0.3">
      <c r="C41">
        <f>RANK(GETPIVOTDATA("Clicks",$A$37,"Hashtags Used","#SoundtrackOfLife"),B38:B41,0)</f>
        <v>1</v>
      </c>
    </row>
  </sheetData>
  <pageMargins left="0.7" right="0.7" top="0.75" bottom="0.75" header="0.3" footer="0.3"/>
  <pageSetup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0"/>
  <sheetViews>
    <sheetView topLeftCell="K1" zoomScaleNormal="100" workbookViewId="0">
      <selection activeCell="Y1" sqref="Y1"/>
    </sheetView>
  </sheetViews>
  <sheetFormatPr defaultRowHeight="14.4" x14ac:dyDescent="0.3"/>
  <cols>
    <col min="2" max="2" width="10.21875" customWidth="1"/>
    <col min="3" max="3" width="10.33203125" bestFit="1" customWidth="1"/>
    <col min="4" max="4" width="14.21875" customWidth="1"/>
    <col min="5" max="5" width="38" bestFit="1" customWidth="1"/>
    <col min="8" max="8" width="12" customWidth="1"/>
    <col min="9" max="9" width="12.88671875" customWidth="1"/>
    <col min="12" max="12" width="32" bestFit="1" customWidth="1"/>
    <col min="13" max="13" width="32" customWidth="1"/>
    <col min="14" max="14" width="17.33203125" customWidth="1"/>
    <col min="15" max="15" width="8.109375" customWidth="1"/>
    <col min="16" max="16" width="18.109375" style="18" bestFit="1" customWidth="1"/>
    <col min="17" max="17" width="13.77734375" style="14" bestFit="1" customWidth="1"/>
  </cols>
  <sheetData>
    <row r="1" spans="1:19" x14ac:dyDescent="0.3">
      <c r="A1" s="4" t="s">
        <v>0</v>
      </c>
      <c r="B1" s="4" t="s">
        <v>1</v>
      </c>
      <c r="C1" s="5" t="s">
        <v>2</v>
      </c>
      <c r="D1" s="4" t="s">
        <v>3</v>
      </c>
      <c r="E1" s="4" t="s">
        <v>4</v>
      </c>
      <c r="F1" s="6" t="s">
        <v>5</v>
      </c>
      <c r="G1" s="6" t="s">
        <v>6</v>
      </c>
      <c r="H1" s="6" t="s">
        <v>7</v>
      </c>
      <c r="I1" s="6" t="s">
        <v>8</v>
      </c>
      <c r="J1" s="6" t="s">
        <v>9</v>
      </c>
      <c r="K1" s="6" t="s">
        <v>10</v>
      </c>
      <c r="L1" s="4" t="s">
        <v>11</v>
      </c>
      <c r="M1" s="4" t="s">
        <v>360</v>
      </c>
      <c r="N1" s="4" t="s">
        <v>12</v>
      </c>
      <c r="O1" s="4" t="s">
        <v>368</v>
      </c>
      <c r="P1" s="19" t="s">
        <v>371</v>
      </c>
      <c r="Q1" s="26" t="s">
        <v>351</v>
      </c>
    </row>
    <row r="2" spans="1:19" x14ac:dyDescent="0.3">
      <c r="A2" s="1" t="s">
        <v>95</v>
      </c>
      <c r="B2" s="1" t="s">
        <v>29</v>
      </c>
      <c r="C2" s="2">
        <v>45292</v>
      </c>
      <c r="D2" s="1" t="s">
        <v>51</v>
      </c>
      <c r="E2" s="1" t="s">
        <v>19</v>
      </c>
      <c r="F2" s="3">
        <v>3437</v>
      </c>
      <c r="G2" s="3">
        <v>129</v>
      </c>
      <c r="H2" s="3">
        <v>359</v>
      </c>
      <c r="I2" s="3">
        <v>44558</v>
      </c>
      <c r="J2" s="3">
        <v>30854</v>
      </c>
      <c r="K2" s="3">
        <v>171</v>
      </c>
      <c r="L2" s="1" t="s">
        <v>20</v>
      </c>
      <c r="M2" s="1" t="s">
        <v>39</v>
      </c>
      <c r="N2" s="1" t="s">
        <v>52</v>
      </c>
      <c r="O2">
        <f t="shared" ref="O2:O65" si="0">WEEKNUM(C2)</f>
        <v>1</v>
      </c>
      <c r="P2" s="20">
        <f>(Table5[[#This Row],[Likes]]+Table5[[#This Row],[Shares]]+Table5[[#This Row],[Comments]])/Table5[[#This Row],[Impressions]]</f>
        <v>8.8087436599488311E-2</v>
      </c>
      <c r="Q2" s="27">
        <f>Table5[[#This Row],[Likes]]+Table5[[#This Row],[Shares]]+Table5[[#This Row],[Comments]]</f>
        <v>3925</v>
      </c>
      <c r="S2" s="7" t="s">
        <v>446</v>
      </c>
    </row>
    <row r="3" spans="1:19" x14ac:dyDescent="0.3">
      <c r="A3" s="1" t="s">
        <v>160</v>
      </c>
      <c r="B3" s="1" t="s">
        <v>23</v>
      </c>
      <c r="C3" s="2">
        <v>45295</v>
      </c>
      <c r="D3" s="1" t="s">
        <v>24</v>
      </c>
      <c r="E3" s="1" t="s">
        <v>32</v>
      </c>
      <c r="F3" s="3">
        <v>3208</v>
      </c>
      <c r="G3" s="3">
        <v>476</v>
      </c>
      <c r="H3" s="3">
        <v>277</v>
      </c>
      <c r="I3" s="3">
        <v>56072</v>
      </c>
      <c r="J3" s="3">
        <v>21061</v>
      </c>
      <c r="K3" s="3">
        <v>113</v>
      </c>
      <c r="L3" s="1" t="s">
        <v>358</v>
      </c>
      <c r="M3" s="1" t="s">
        <v>37</v>
      </c>
      <c r="N3" s="1" t="s">
        <v>17</v>
      </c>
      <c r="O3">
        <f t="shared" si="0"/>
        <v>1</v>
      </c>
      <c r="P3" s="20">
        <f>(Table5[[#This Row],[Likes]]+Table5[[#This Row],[Shares]]+Table5[[#This Row],[Comments]])/Table5[[#This Row],[Impressions]]</f>
        <v>7.064131830503638E-2</v>
      </c>
      <c r="Q3" s="27">
        <f>Table5[[#This Row],[Likes]]+Table5[[#This Row],[Shares]]+Table5[[#This Row],[Comments]]</f>
        <v>3961</v>
      </c>
    </row>
    <row r="4" spans="1:19" x14ac:dyDescent="0.3">
      <c r="A4" s="1" t="s">
        <v>315</v>
      </c>
      <c r="B4" s="1" t="s">
        <v>14</v>
      </c>
      <c r="C4" s="2">
        <v>45298</v>
      </c>
      <c r="D4" s="1" t="s">
        <v>15</v>
      </c>
      <c r="E4" s="1" t="s">
        <v>77</v>
      </c>
      <c r="F4" s="3">
        <v>4931</v>
      </c>
      <c r="G4" s="3">
        <v>469</v>
      </c>
      <c r="H4" s="3">
        <v>193</v>
      </c>
      <c r="I4" s="3">
        <v>56701</v>
      </c>
      <c r="J4" s="3">
        <v>69437</v>
      </c>
      <c r="K4" s="3">
        <v>291</v>
      </c>
      <c r="L4" s="1" t="s">
        <v>39</v>
      </c>
      <c r="M4" s="1" t="s">
        <v>37</v>
      </c>
      <c r="N4" s="1" t="s">
        <v>17</v>
      </c>
      <c r="O4">
        <f t="shared" si="0"/>
        <v>2</v>
      </c>
      <c r="P4" s="20">
        <f>(Table5[[#This Row],[Likes]]+Table5[[#This Row],[Shares]]+Table5[[#This Row],[Comments]])/Table5[[#This Row],[Impressions]]</f>
        <v>9.8640235621946709E-2</v>
      </c>
      <c r="Q4" s="27">
        <f>Table5[[#This Row],[Likes]]+Table5[[#This Row],[Shares]]+Table5[[#This Row],[Comments]]</f>
        <v>5593</v>
      </c>
      <c r="S4" t="s">
        <v>450</v>
      </c>
    </row>
    <row r="5" spans="1:19" x14ac:dyDescent="0.3">
      <c r="A5" s="1" t="s">
        <v>91</v>
      </c>
      <c r="B5" s="1" t="s">
        <v>14</v>
      </c>
      <c r="C5" s="2">
        <v>45299</v>
      </c>
      <c r="D5" s="1" t="s">
        <v>15</v>
      </c>
      <c r="E5" s="1" t="s">
        <v>77</v>
      </c>
      <c r="F5" s="3">
        <v>2683</v>
      </c>
      <c r="G5" s="3">
        <v>405</v>
      </c>
      <c r="H5" s="3">
        <v>223</v>
      </c>
      <c r="I5" s="3">
        <v>31233</v>
      </c>
      <c r="J5" s="3">
        <v>58106</v>
      </c>
      <c r="K5" s="3">
        <v>291</v>
      </c>
      <c r="L5" s="1" t="s">
        <v>20</v>
      </c>
      <c r="M5" s="1" t="s">
        <v>361</v>
      </c>
      <c r="N5" s="1" t="s">
        <v>21</v>
      </c>
      <c r="O5">
        <f t="shared" si="0"/>
        <v>2</v>
      </c>
      <c r="P5" s="20">
        <f>(Table5[[#This Row],[Likes]]+Table5[[#This Row],[Shares]]+Table5[[#This Row],[Comments]])/Table5[[#This Row],[Impressions]]</f>
        <v>0.10600966926007749</v>
      </c>
      <c r="Q5" s="27">
        <f>Table5[[#This Row],[Likes]]+Table5[[#This Row],[Shares]]+Table5[[#This Row],[Comments]]</f>
        <v>3311</v>
      </c>
      <c r="S5" t="s">
        <v>451</v>
      </c>
    </row>
    <row r="6" spans="1:19" x14ac:dyDescent="0.3">
      <c r="A6" s="1" t="s">
        <v>164</v>
      </c>
      <c r="B6" s="1" t="s">
        <v>29</v>
      </c>
      <c r="C6" s="2">
        <v>45301</v>
      </c>
      <c r="D6" s="1" t="s">
        <v>15</v>
      </c>
      <c r="E6" s="1" t="s">
        <v>19</v>
      </c>
      <c r="F6" s="3">
        <v>1261</v>
      </c>
      <c r="G6" s="3">
        <v>190</v>
      </c>
      <c r="H6" s="3">
        <v>233</v>
      </c>
      <c r="I6" s="3">
        <v>59888</v>
      </c>
      <c r="J6" s="3">
        <v>51449</v>
      </c>
      <c r="K6" s="3">
        <v>205</v>
      </c>
      <c r="L6" s="1" t="s">
        <v>20</v>
      </c>
      <c r="M6" s="1" t="s">
        <v>359</v>
      </c>
      <c r="N6" s="1" t="s">
        <v>21</v>
      </c>
      <c r="O6">
        <f t="shared" si="0"/>
        <v>2</v>
      </c>
      <c r="P6" s="20">
        <f>(Table5[[#This Row],[Likes]]+Table5[[#This Row],[Shares]]+Table5[[#This Row],[Comments]])/Table5[[#This Row],[Impressions]]</f>
        <v>2.811915575741384E-2</v>
      </c>
      <c r="Q6" s="27">
        <f>Table5[[#This Row],[Likes]]+Table5[[#This Row],[Shares]]+Table5[[#This Row],[Comments]]</f>
        <v>1684</v>
      </c>
      <c r="S6" t="s">
        <v>452</v>
      </c>
    </row>
    <row r="7" spans="1:19" x14ac:dyDescent="0.3">
      <c r="A7" s="1" t="s">
        <v>105</v>
      </c>
      <c r="B7" s="1" t="s">
        <v>23</v>
      </c>
      <c r="C7" s="2">
        <v>45302</v>
      </c>
      <c r="D7" s="1" t="s">
        <v>15</v>
      </c>
      <c r="E7" s="1" t="s">
        <v>32</v>
      </c>
      <c r="F7" s="3">
        <v>4218</v>
      </c>
      <c r="G7" s="3">
        <v>247</v>
      </c>
      <c r="H7" s="3">
        <v>183</v>
      </c>
      <c r="I7" s="3">
        <v>28914</v>
      </c>
      <c r="J7" s="3">
        <v>18310</v>
      </c>
      <c r="K7" s="3">
        <v>135</v>
      </c>
      <c r="L7" s="1" t="s">
        <v>39</v>
      </c>
      <c r="M7" s="1" t="s">
        <v>361</v>
      </c>
      <c r="N7" s="1" t="s">
        <v>21</v>
      </c>
      <c r="O7">
        <f t="shared" si="0"/>
        <v>2</v>
      </c>
      <c r="P7" s="20">
        <f>(Table5[[#This Row],[Likes]]+Table5[[#This Row],[Shares]]+Table5[[#This Row],[Comments]])/Table5[[#This Row],[Impressions]]</f>
        <v>0.1607525766064882</v>
      </c>
      <c r="Q7" s="27">
        <f>Table5[[#This Row],[Likes]]+Table5[[#This Row],[Shares]]+Table5[[#This Row],[Comments]]</f>
        <v>4648</v>
      </c>
    </row>
    <row r="8" spans="1:19" x14ac:dyDescent="0.3">
      <c r="A8" s="1" t="s">
        <v>236</v>
      </c>
      <c r="B8" s="1" t="s">
        <v>23</v>
      </c>
      <c r="C8" s="2">
        <v>45302</v>
      </c>
      <c r="D8" s="1" t="s">
        <v>24</v>
      </c>
      <c r="E8" s="1" t="s">
        <v>27</v>
      </c>
      <c r="F8" s="3">
        <v>2340</v>
      </c>
      <c r="G8" s="3">
        <v>141</v>
      </c>
      <c r="H8" s="3">
        <v>206</v>
      </c>
      <c r="I8" s="3">
        <v>24916</v>
      </c>
      <c r="J8" s="3">
        <v>30582</v>
      </c>
      <c r="K8" s="3">
        <v>157</v>
      </c>
      <c r="L8" s="1" t="s">
        <v>39</v>
      </c>
      <c r="M8" s="1" t="s">
        <v>37</v>
      </c>
      <c r="N8" s="1" t="s">
        <v>17</v>
      </c>
      <c r="O8">
        <f t="shared" si="0"/>
        <v>2</v>
      </c>
      <c r="P8" s="20">
        <f>(Table5[[#This Row],[Likes]]+Table5[[#This Row],[Shares]]+Table5[[#This Row],[Comments]])/Table5[[#This Row],[Impressions]]</f>
        <v>0.10784235029699792</v>
      </c>
      <c r="Q8" s="27">
        <f>Table5[[#This Row],[Likes]]+Table5[[#This Row],[Shares]]+Table5[[#This Row],[Comments]]</f>
        <v>2687</v>
      </c>
      <c r="S8" s="7" t="s">
        <v>460</v>
      </c>
    </row>
    <row r="9" spans="1:19" x14ac:dyDescent="0.3">
      <c r="A9" s="1" t="s">
        <v>333</v>
      </c>
      <c r="B9" s="1" t="s">
        <v>23</v>
      </c>
      <c r="C9" s="2">
        <v>45303</v>
      </c>
      <c r="D9" s="1" t="s">
        <v>24</v>
      </c>
      <c r="E9" s="1" t="s">
        <v>27</v>
      </c>
      <c r="F9" s="3">
        <v>2227</v>
      </c>
      <c r="G9" s="3">
        <v>494</v>
      </c>
      <c r="H9" s="3">
        <v>161</v>
      </c>
      <c r="I9" s="3">
        <v>51651</v>
      </c>
      <c r="J9" s="3">
        <v>68074</v>
      </c>
      <c r="K9" s="3">
        <v>240</v>
      </c>
      <c r="L9" s="1" t="s">
        <v>20</v>
      </c>
      <c r="M9" s="1" t="s">
        <v>358</v>
      </c>
      <c r="N9" s="1" t="s">
        <v>17</v>
      </c>
      <c r="O9">
        <f t="shared" si="0"/>
        <v>2</v>
      </c>
      <c r="P9" s="20">
        <f>(Table5[[#This Row],[Likes]]+Table5[[#This Row],[Shares]]+Table5[[#This Row],[Comments]])/Table5[[#This Row],[Impressions]]</f>
        <v>5.5797564422760453E-2</v>
      </c>
      <c r="Q9" s="27">
        <f>Table5[[#This Row],[Likes]]+Table5[[#This Row],[Shares]]+Table5[[#This Row],[Comments]]</f>
        <v>2882</v>
      </c>
    </row>
    <row r="10" spans="1:19" x14ac:dyDescent="0.3">
      <c r="A10" s="1" t="s">
        <v>113</v>
      </c>
      <c r="B10" s="1" t="s">
        <v>29</v>
      </c>
      <c r="C10" s="2">
        <v>45304</v>
      </c>
      <c r="D10" s="1" t="s">
        <v>51</v>
      </c>
      <c r="E10" s="1" t="s">
        <v>25</v>
      </c>
      <c r="F10" s="3">
        <v>4781</v>
      </c>
      <c r="G10" s="3">
        <v>191</v>
      </c>
      <c r="H10" s="3">
        <v>122</v>
      </c>
      <c r="I10" s="3">
        <v>35535</v>
      </c>
      <c r="J10" s="3">
        <v>50777</v>
      </c>
      <c r="K10" s="3">
        <v>128</v>
      </c>
      <c r="L10" s="1" t="s">
        <v>20</v>
      </c>
      <c r="M10" s="1" t="s">
        <v>39</v>
      </c>
      <c r="N10" s="1" t="s">
        <v>52</v>
      </c>
      <c r="O10">
        <f t="shared" si="0"/>
        <v>2</v>
      </c>
      <c r="P10" s="20">
        <f>(Table5[[#This Row],[Likes]]+Table5[[#This Row],[Shares]]+Table5[[#This Row],[Comments]])/Table5[[#This Row],[Impressions]]</f>
        <v>0.14335162515829464</v>
      </c>
      <c r="Q10" s="27">
        <f>Table5[[#This Row],[Likes]]+Table5[[#This Row],[Shares]]+Table5[[#This Row],[Comments]]</f>
        <v>5094</v>
      </c>
      <c r="S10" t="s">
        <v>453</v>
      </c>
    </row>
    <row r="11" spans="1:19" x14ac:dyDescent="0.3">
      <c r="A11" s="1" t="s">
        <v>229</v>
      </c>
      <c r="B11" s="1" t="s">
        <v>29</v>
      </c>
      <c r="C11" s="2">
        <v>45305</v>
      </c>
      <c r="D11" s="1" t="s">
        <v>15</v>
      </c>
      <c r="E11" s="1" t="s">
        <v>25</v>
      </c>
      <c r="F11" s="3">
        <v>3634</v>
      </c>
      <c r="G11" s="3">
        <v>280</v>
      </c>
      <c r="H11" s="3">
        <v>399</v>
      </c>
      <c r="I11" s="3">
        <v>40256</v>
      </c>
      <c r="J11" s="3">
        <v>52605</v>
      </c>
      <c r="K11" s="3">
        <v>213</v>
      </c>
      <c r="L11" s="1" t="s">
        <v>20</v>
      </c>
      <c r="M11" s="1" t="s">
        <v>359</v>
      </c>
      <c r="N11" s="1" t="s">
        <v>21</v>
      </c>
      <c r="O11">
        <f t="shared" si="0"/>
        <v>3</v>
      </c>
      <c r="P11" s="20">
        <f>(Table5[[#This Row],[Likes]]+Table5[[#This Row],[Shares]]+Table5[[#This Row],[Comments]])/Table5[[#This Row],[Impressions]]</f>
        <v>0.10713930842607314</v>
      </c>
      <c r="Q11" s="27">
        <f>Table5[[#This Row],[Likes]]+Table5[[#This Row],[Shares]]+Table5[[#This Row],[Comments]]</f>
        <v>4313</v>
      </c>
      <c r="S11" t="s">
        <v>454</v>
      </c>
    </row>
    <row r="12" spans="1:19" x14ac:dyDescent="0.3">
      <c r="A12" s="1" t="s">
        <v>271</v>
      </c>
      <c r="B12" s="1" t="s">
        <v>29</v>
      </c>
      <c r="C12" s="2">
        <v>45305</v>
      </c>
      <c r="D12" s="1" t="s">
        <v>15</v>
      </c>
      <c r="E12" s="1" t="s">
        <v>32</v>
      </c>
      <c r="F12" s="3">
        <v>4502</v>
      </c>
      <c r="G12" s="3">
        <v>238</v>
      </c>
      <c r="H12" s="3">
        <v>386</v>
      </c>
      <c r="I12" s="3">
        <v>39198</v>
      </c>
      <c r="J12" s="3">
        <v>25050</v>
      </c>
      <c r="K12" s="3">
        <v>297</v>
      </c>
      <c r="L12" s="1" t="s">
        <v>20</v>
      </c>
      <c r="M12" s="1" t="s">
        <v>359</v>
      </c>
      <c r="N12" s="1" t="s">
        <v>21</v>
      </c>
      <c r="O12">
        <f t="shared" si="0"/>
        <v>3</v>
      </c>
      <c r="P12" s="20">
        <f>(Table5[[#This Row],[Likes]]+Table5[[#This Row],[Shares]]+Table5[[#This Row],[Comments]])/Table5[[#This Row],[Impressions]]</f>
        <v>0.13077197816215114</v>
      </c>
      <c r="Q12" s="27">
        <f>Table5[[#This Row],[Likes]]+Table5[[#This Row],[Shares]]+Table5[[#This Row],[Comments]]</f>
        <v>5126</v>
      </c>
      <c r="S12" t="s">
        <v>455</v>
      </c>
    </row>
    <row r="13" spans="1:19" x14ac:dyDescent="0.3">
      <c r="A13" s="1" t="s">
        <v>260</v>
      </c>
      <c r="B13" s="1" t="s">
        <v>23</v>
      </c>
      <c r="C13" s="2">
        <v>45308</v>
      </c>
      <c r="D13" s="1" t="s">
        <v>24</v>
      </c>
      <c r="E13" s="1" t="s">
        <v>25</v>
      </c>
      <c r="F13" s="3">
        <v>2174</v>
      </c>
      <c r="G13" s="3">
        <v>499</v>
      </c>
      <c r="H13" s="3">
        <v>212</v>
      </c>
      <c r="I13" s="3">
        <v>54938</v>
      </c>
      <c r="J13" s="3">
        <v>27190</v>
      </c>
      <c r="K13" s="3">
        <v>265</v>
      </c>
      <c r="L13" s="1" t="s">
        <v>358</v>
      </c>
      <c r="M13" s="1" t="s">
        <v>37</v>
      </c>
      <c r="N13" s="1" t="s">
        <v>17</v>
      </c>
      <c r="O13">
        <f t="shared" si="0"/>
        <v>3</v>
      </c>
      <c r="P13" s="20">
        <f>(Table5[[#This Row],[Likes]]+Table5[[#This Row],[Shares]]+Table5[[#This Row],[Comments]])/Table5[[#This Row],[Impressions]]</f>
        <v>5.2513742764570971E-2</v>
      </c>
      <c r="Q13" s="27">
        <f>Table5[[#This Row],[Likes]]+Table5[[#This Row],[Shares]]+Table5[[#This Row],[Comments]]</f>
        <v>2885</v>
      </c>
      <c r="S13" t="s">
        <v>456</v>
      </c>
    </row>
    <row r="14" spans="1:19" x14ac:dyDescent="0.3">
      <c r="A14" s="1" t="s">
        <v>181</v>
      </c>
      <c r="B14" s="1" t="s">
        <v>23</v>
      </c>
      <c r="C14" s="2">
        <v>45312</v>
      </c>
      <c r="D14" s="1" t="s">
        <v>24</v>
      </c>
      <c r="E14" s="1" t="s">
        <v>16</v>
      </c>
      <c r="F14" s="3">
        <v>2383</v>
      </c>
      <c r="G14" s="3">
        <v>136</v>
      </c>
      <c r="H14" s="3">
        <v>302</v>
      </c>
      <c r="I14" s="3">
        <v>39187</v>
      </c>
      <c r="J14" s="3">
        <v>22133</v>
      </c>
      <c r="K14" s="3">
        <v>208</v>
      </c>
      <c r="L14" s="1" t="s">
        <v>358</v>
      </c>
      <c r="M14" s="1" t="s">
        <v>37</v>
      </c>
      <c r="N14" s="1" t="s">
        <v>17</v>
      </c>
      <c r="O14">
        <f t="shared" si="0"/>
        <v>4</v>
      </c>
      <c r="P14" s="20">
        <f>(Table5[[#This Row],[Likes]]+Table5[[#This Row],[Shares]]+Table5[[#This Row],[Comments]])/Table5[[#This Row],[Impressions]]</f>
        <v>7.1988159338556151E-2</v>
      </c>
      <c r="Q14" s="27">
        <f>Table5[[#This Row],[Likes]]+Table5[[#This Row],[Shares]]+Table5[[#This Row],[Comments]]</f>
        <v>2821</v>
      </c>
      <c r="S14" t="s">
        <v>457</v>
      </c>
    </row>
    <row r="15" spans="1:19" x14ac:dyDescent="0.3">
      <c r="A15" s="1" t="s">
        <v>109</v>
      </c>
      <c r="B15" s="1" t="s">
        <v>23</v>
      </c>
      <c r="C15" s="2">
        <v>45313</v>
      </c>
      <c r="D15" s="1" t="s">
        <v>24</v>
      </c>
      <c r="E15" s="1" t="s">
        <v>43</v>
      </c>
      <c r="F15" s="3">
        <v>1554</v>
      </c>
      <c r="G15" s="3">
        <v>455</v>
      </c>
      <c r="H15" s="3">
        <v>158</v>
      </c>
      <c r="I15" s="3">
        <v>41947</v>
      </c>
      <c r="J15" s="3">
        <v>48578</v>
      </c>
      <c r="K15" s="3">
        <v>101</v>
      </c>
      <c r="L15" s="1" t="s">
        <v>39</v>
      </c>
      <c r="M15" s="1" t="s">
        <v>37</v>
      </c>
      <c r="N15" s="1" t="s">
        <v>17</v>
      </c>
      <c r="O15">
        <f t="shared" si="0"/>
        <v>4</v>
      </c>
      <c r="P15" s="20">
        <f>(Table5[[#This Row],[Likes]]+Table5[[#This Row],[Shares]]+Table5[[#This Row],[Comments]])/Table5[[#This Row],[Impressions]]</f>
        <v>5.1660428636136076E-2</v>
      </c>
      <c r="Q15" s="27">
        <f>Table5[[#This Row],[Likes]]+Table5[[#This Row],[Shares]]+Table5[[#This Row],[Comments]]</f>
        <v>2167</v>
      </c>
      <c r="S15" t="s">
        <v>458</v>
      </c>
    </row>
    <row r="16" spans="1:19" x14ac:dyDescent="0.3">
      <c r="A16" s="1" t="s">
        <v>131</v>
      </c>
      <c r="B16" s="1" t="s">
        <v>14</v>
      </c>
      <c r="C16" s="2">
        <v>45317</v>
      </c>
      <c r="D16" s="1" t="s">
        <v>15</v>
      </c>
      <c r="E16" s="1" t="s">
        <v>32</v>
      </c>
      <c r="F16" s="3">
        <v>3878</v>
      </c>
      <c r="G16" s="3">
        <v>431</v>
      </c>
      <c r="H16" s="3">
        <v>97</v>
      </c>
      <c r="I16" s="3">
        <v>41763</v>
      </c>
      <c r="J16" s="3">
        <v>29729</v>
      </c>
      <c r="K16" s="3">
        <v>191</v>
      </c>
      <c r="L16" s="1" t="s">
        <v>20</v>
      </c>
      <c r="M16" s="1" t="s">
        <v>361</v>
      </c>
      <c r="N16" s="1" t="s">
        <v>21</v>
      </c>
      <c r="O16">
        <f t="shared" si="0"/>
        <v>4</v>
      </c>
      <c r="P16" s="20">
        <f>(Table5[[#This Row],[Likes]]+Table5[[#This Row],[Shares]]+Table5[[#This Row],[Comments]])/Table5[[#This Row],[Impressions]]</f>
        <v>0.10550008380623997</v>
      </c>
      <c r="Q16" s="27">
        <f>Table5[[#This Row],[Likes]]+Table5[[#This Row],[Shares]]+Table5[[#This Row],[Comments]]</f>
        <v>4406</v>
      </c>
      <c r="S16" t="s">
        <v>459</v>
      </c>
    </row>
    <row r="17" spans="1:17" x14ac:dyDescent="0.3">
      <c r="A17" s="1" t="s">
        <v>167</v>
      </c>
      <c r="B17" s="1" t="s">
        <v>29</v>
      </c>
      <c r="C17" s="2">
        <v>45318</v>
      </c>
      <c r="D17" s="1" t="s">
        <v>15</v>
      </c>
      <c r="E17" s="1" t="s">
        <v>45</v>
      </c>
      <c r="F17" s="3">
        <v>1976</v>
      </c>
      <c r="G17" s="3">
        <v>262</v>
      </c>
      <c r="H17" s="3">
        <v>218</v>
      </c>
      <c r="I17" s="3">
        <v>51696</v>
      </c>
      <c r="J17" s="3">
        <v>44846</v>
      </c>
      <c r="K17" s="3">
        <v>139</v>
      </c>
      <c r="L17" s="1" t="s">
        <v>20</v>
      </c>
      <c r="M17" s="1" t="s">
        <v>359</v>
      </c>
      <c r="N17" s="1" t="s">
        <v>21</v>
      </c>
      <c r="O17">
        <f t="shared" si="0"/>
        <v>4</v>
      </c>
      <c r="P17" s="20">
        <f>(Table5[[#This Row],[Likes]]+Table5[[#This Row],[Shares]]+Table5[[#This Row],[Comments]])/Table5[[#This Row],[Impressions]]</f>
        <v>4.7508511296812134E-2</v>
      </c>
      <c r="Q17" s="27">
        <f>Table5[[#This Row],[Likes]]+Table5[[#This Row],[Shares]]+Table5[[#This Row],[Comments]]</f>
        <v>2456</v>
      </c>
    </row>
    <row r="18" spans="1:17" x14ac:dyDescent="0.3">
      <c r="A18" s="1" t="s">
        <v>161</v>
      </c>
      <c r="B18" s="1" t="s">
        <v>23</v>
      </c>
      <c r="C18" s="2">
        <v>45319</v>
      </c>
      <c r="D18" s="1" t="s">
        <v>15</v>
      </c>
      <c r="E18" s="1" t="s">
        <v>30</v>
      </c>
      <c r="F18" s="3">
        <v>1456</v>
      </c>
      <c r="G18" s="3">
        <v>265</v>
      </c>
      <c r="H18" s="3">
        <v>137</v>
      </c>
      <c r="I18" s="3">
        <v>53485</v>
      </c>
      <c r="J18" s="3">
        <v>59729</v>
      </c>
      <c r="K18" s="3">
        <v>145</v>
      </c>
      <c r="L18" s="1" t="s">
        <v>39</v>
      </c>
      <c r="M18" s="1" t="s">
        <v>361</v>
      </c>
      <c r="N18" s="1" t="s">
        <v>21</v>
      </c>
      <c r="O18">
        <f t="shared" si="0"/>
        <v>5</v>
      </c>
      <c r="P18" s="20">
        <f>(Table5[[#This Row],[Likes]]+Table5[[#This Row],[Shares]]+Table5[[#This Row],[Comments]])/Table5[[#This Row],[Impressions]]</f>
        <v>3.4738711788351875E-2</v>
      </c>
      <c r="Q18" s="27">
        <f>Table5[[#This Row],[Likes]]+Table5[[#This Row],[Shares]]+Table5[[#This Row],[Comments]]</f>
        <v>1858</v>
      </c>
    </row>
    <row r="19" spans="1:17" x14ac:dyDescent="0.3">
      <c r="A19" s="1" t="s">
        <v>259</v>
      </c>
      <c r="B19" s="1" t="s">
        <v>29</v>
      </c>
      <c r="C19" s="2">
        <v>45323</v>
      </c>
      <c r="D19" s="1" t="s">
        <v>15</v>
      </c>
      <c r="E19" s="1" t="s">
        <v>27</v>
      </c>
      <c r="F19" s="3">
        <v>1432</v>
      </c>
      <c r="G19" s="3">
        <v>437</v>
      </c>
      <c r="H19" s="3">
        <v>267</v>
      </c>
      <c r="I19" s="3">
        <v>40634</v>
      </c>
      <c r="J19" s="3">
        <v>54511</v>
      </c>
      <c r="K19" s="3">
        <v>197</v>
      </c>
      <c r="L19" s="1" t="s">
        <v>20</v>
      </c>
      <c r="M19" s="1" t="s">
        <v>359</v>
      </c>
      <c r="N19" s="1" t="s">
        <v>21</v>
      </c>
      <c r="O19">
        <f t="shared" si="0"/>
        <v>5</v>
      </c>
      <c r="P19" s="20">
        <f>(Table5[[#This Row],[Likes]]+Table5[[#This Row],[Shares]]+Table5[[#This Row],[Comments]])/Table5[[#This Row],[Impressions]]</f>
        <v>5.2566815966924252E-2</v>
      </c>
      <c r="Q19" s="27">
        <f>Table5[[#This Row],[Likes]]+Table5[[#This Row],[Shares]]+Table5[[#This Row],[Comments]]</f>
        <v>2136</v>
      </c>
    </row>
    <row r="20" spans="1:17" x14ac:dyDescent="0.3">
      <c r="A20" s="1" t="s">
        <v>268</v>
      </c>
      <c r="B20" s="1" t="s">
        <v>23</v>
      </c>
      <c r="C20" s="2">
        <v>45324</v>
      </c>
      <c r="D20" s="1" t="s">
        <v>15</v>
      </c>
      <c r="E20" s="1" t="s">
        <v>43</v>
      </c>
      <c r="F20" s="3">
        <v>3818</v>
      </c>
      <c r="G20" s="3">
        <v>115</v>
      </c>
      <c r="H20" s="3">
        <v>286</v>
      </c>
      <c r="I20" s="3">
        <v>25127</v>
      </c>
      <c r="J20" s="3">
        <v>22277</v>
      </c>
      <c r="K20" s="3">
        <v>263</v>
      </c>
      <c r="L20" s="1" t="s">
        <v>37</v>
      </c>
      <c r="M20" s="1" t="s">
        <v>361</v>
      </c>
      <c r="N20" s="1" t="s">
        <v>17</v>
      </c>
      <c r="O20">
        <f t="shared" si="0"/>
        <v>5</v>
      </c>
      <c r="P20" s="20">
        <f>(Table5[[#This Row],[Likes]]+Table5[[#This Row],[Shares]]+Table5[[#This Row],[Comments]])/Table5[[#This Row],[Impressions]]</f>
        <v>0.16790703227603773</v>
      </c>
      <c r="Q20" s="27">
        <f>Table5[[#This Row],[Likes]]+Table5[[#This Row],[Shares]]+Table5[[#This Row],[Comments]]</f>
        <v>4219</v>
      </c>
    </row>
    <row r="21" spans="1:17" x14ac:dyDescent="0.3">
      <c r="A21" s="1" t="s">
        <v>48</v>
      </c>
      <c r="B21" s="1" t="s">
        <v>14</v>
      </c>
      <c r="C21" s="2">
        <v>45325</v>
      </c>
      <c r="D21" s="1" t="s">
        <v>24</v>
      </c>
      <c r="E21" s="1" t="s">
        <v>30</v>
      </c>
      <c r="F21" s="3">
        <v>4281</v>
      </c>
      <c r="G21" s="3">
        <v>101</v>
      </c>
      <c r="H21" s="3">
        <v>163</v>
      </c>
      <c r="I21" s="3">
        <v>32278</v>
      </c>
      <c r="J21" s="3">
        <v>53382</v>
      </c>
      <c r="K21" s="3">
        <v>235</v>
      </c>
      <c r="L21" s="1" t="s">
        <v>37</v>
      </c>
      <c r="M21" s="1" t="s">
        <v>361</v>
      </c>
      <c r="N21" s="1" t="s">
        <v>49</v>
      </c>
      <c r="O21">
        <f t="shared" si="0"/>
        <v>5</v>
      </c>
      <c r="P21" s="20">
        <f>(Table5[[#This Row],[Likes]]+Table5[[#This Row],[Shares]]+Table5[[#This Row],[Comments]])/Table5[[#This Row],[Impressions]]</f>
        <v>0.1408079806679472</v>
      </c>
      <c r="Q21" s="27">
        <f>Table5[[#This Row],[Likes]]+Table5[[#This Row],[Shares]]+Table5[[#This Row],[Comments]]</f>
        <v>4545</v>
      </c>
    </row>
    <row r="22" spans="1:17" x14ac:dyDescent="0.3">
      <c r="A22" s="1" t="s">
        <v>334</v>
      </c>
      <c r="B22" s="1" t="s">
        <v>14</v>
      </c>
      <c r="C22" s="2">
        <v>45329</v>
      </c>
      <c r="D22" s="1" t="s">
        <v>15</v>
      </c>
      <c r="E22" s="1" t="s">
        <v>30</v>
      </c>
      <c r="F22" s="3">
        <v>1883</v>
      </c>
      <c r="G22" s="3">
        <v>432</v>
      </c>
      <c r="H22" s="3">
        <v>397</v>
      </c>
      <c r="I22" s="3">
        <v>28759</v>
      </c>
      <c r="J22" s="3">
        <v>18691</v>
      </c>
      <c r="K22" s="3">
        <v>270</v>
      </c>
      <c r="L22" s="1" t="s">
        <v>39</v>
      </c>
      <c r="M22" s="1" t="s">
        <v>37</v>
      </c>
      <c r="N22" s="1" t="s">
        <v>17</v>
      </c>
      <c r="O22">
        <f t="shared" si="0"/>
        <v>6</v>
      </c>
      <c r="P22" s="20">
        <f>(Table5[[#This Row],[Likes]]+Table5[[#This Row],[Shares]]+Table5[[#This Row],[Comments]])/Table5[[#This Row],[Impressions]]</f>
        <v>9.4300914496331587E-2</v>
      </c>
      <c r="Q22" s="27">
        <f>Table5[[#This Row],[Likes]]+Table5[[#This Row],[Shares]]+Table5[[#This Row],[Comments]]</f>
        <v>2712</v>
      </c>
    </row>
    <row r="23" spans="1:17" x14ac:dyDescent="0.3">
      <c r="A23" s="1" t="s">
        <v>194</v>
      </c>
      <c r="B23" s="1" t="s">
        <v>29</v>
      </c>
      <c r="C23" s="2">
        <v>45330</v>
      </c>
      <c r="D23" s="1" t="s">
        <v>51</v>
      </c>
      <c r="E23" s="1" t="s">
        <v>77</v>
      </c>
      <c r="F23" s="3">
        <v>1889</v>
      </c>
      <c r="G23" s="3">
        <v>298</v>
      </c>
      <c r="H23" s="3">
        <v>122</v>
      </c>
      <c r="I23" s="3">
        <v>46225</v>
      </c>
      <c r="J23" s="3">
        <v>74305</v>
      </c>
      <c r="K23" s="3">
        <v>293</v>
      </c>
      <c r="L23" s="1" t="s">
        <v>20</v>
      </c>
      <c r="M23" s="1" t="s">
        <v>39</v>
      </c>
      <c r="N23" s="1" t="s">
        <v>52</v>
      </c>
      <c r="O23">
        <f t="shared" si="0"/>
        <v>6</v>
      </c>
      <c r="P23" s="20">
        <f>(Table5[[#This Row],[Likes]]+Table5[[#This Row],[Shares]]+Table5[[#This Row],[Comments]])/Table5[[#This Row],[Impressions]]</f>
        <v>4.9951325040562468E-2</v>
      </c>
      <c r="Q23" s="27">
        <f>Table5[[#This Row],[Likes]]+Table5[[#This Row],[Shares]]+Table5[[#This Row],[Comments]]</f>
        <v>2309</v>
      </c>
    </row>
    <row r="24" spans="1:17" x14ac:dyDescent="0.3">
      <c r="A24" s="1" t="s">
        <v>253</v>
      </c>
      <c r="B24" s="1" t="s">
        <v>23</v>
      </c>
      <c r="C24" s="2">
        <v>45332</v>
      </c>
      <c r="D24" s="1" t="s">
        <v>15</v>
      </c>
      <c r="E24" s="1" t="s">
        <v>43</v>
      </c>
      <c r="F24" s="3">
        <v>1519</v>
      </c>
      <c r="G24" s="3">
        <v>456</v>
      </c>
      <c r="H24" s="3">
        <v>379</v>
      </c>
      <c r="I24" s="3">
        <v>51611</v>
      </c>
      <c r="J24" s="3">
        <v>45880</v>
      </c>
      <c r="K24" s="3">
        <v>176</v>
      </c>
      <c r="L24" s="1" t="s">
        <v>39</v>
      </c>
      <c r="M24" s="1" t="s">
        <v>361</v>
      </c>
      <c r="N24" s="1" t="s">
        <v>21</v>
      </c>
      <c r="O24">
        <f t="shared" si="0"/>
        <v>6</v>
      </c>
      <c r="P24" s="20">
        <f>(Table5[[#This Row],[Likes]]+Table5[[#This Row],[Shares]]+Table5[[#This Row],[Comments]])/Table5[[#This Row],[Impressions]]</f>
        <v>4.5610431884675749E-2</v>
      </c>
      <c r="Q24" s="27">
        <f>Table5[[#This Row],[Likes]]+Table5[[#This Row],[Shares]]+Table5[[#This Row],[Comments]]</f>
        <v>2354</v>
      </c>
    </row>
    <row r="25" spans="1:17" x14ac:dyDescent="0.3">
      <c r="A25" s="1" t="s">
        <v>80</v>
      </c>
      <c r="B25" s="1" t="s">
        <v>14</v>
      </c>
      <c r="C25" s="2">
        <v>45334</v>
      </c>
      <c r="D25" s="1" t="s">
        <v>15</v>
      </c>
      <c r="E25" s="1" t="s">
        <v>19</v>
      </c>
      <c r="F25" s="3">
        <v>2923</v>
      </c>
      <c r="G25" s="3">
        <v>330</v>
      </c>
      <c r="H25" s="3">
        <v>250</v>
      </c>
      <c r="I25" s="3">
        <v>23993</v>
      </c>
      <c r="J25" s="3">
        <v>74590</v>
      </c>
      <c r="K25" s="3">
        <v>92</v>
      </c>
      <c r="L25" s="1" t="s">
        <v>20</v>
      </c>
      <c r="M25" s="1" t="s">
        <v>361</v>
      </c>
      <c r="N25" s="1" t="s">
        <v>21</v>
      </c>
      <c r="O25">
        <f t="shared" si="0"/>
        <v>7</v>
      </c>
      <c r="P25" s="20">
        <f>(Table5[[#This Row],[Likes]]+Table5[[#This Row],[Shares]]+Table5[[#This Row],[Comments]])/Table5[[#This Row],[Impressions]]</f>
        <v>0.14600091693410577</v>
      </c>
      <c r="Q25" s="27">
        <f>Table5[[#This Row],[Likes]]+Table5[[#This Row],[Shares]]+Table5[[#This Row],[Comments]]</f>
        <v>3503</v>
      </c>
    </row>
    <row r="26" spans="1:17" x14ac:dyDescent="0.3">
      <c r="A26" s="1" t="s">
        <v>307</v>
      </c>
      <c r="B26" s="1" t="s">
        <v>23</v>
      </c>
      <c r="C26" s="2">
        <v>45334</v>
      </c>
      <c r="D26" s="1" t="s">
        <v>15</v>
      </c>
      <c r="E26" s="1" t="s">
        <v>19</v>
      </c>
      <c r="F26" s="3">
        <v>2691</v>
      </c>
      <c r="G26" s="3">
        <v>486</v>
      </c>
      <c r="H26" s="3">
        <v>206</v>
      </c>
      <c r="I26" s="3">
        <v>51133</v>
      </c>
      <c r="J26" s="3">
        <v>44583</v>
      </c>
      <c r="K26" s="3">
        <v>276</v>
      </c>
      <c r="L26" s="1" t="s">
        <v>37</v>
      </c>
      <c r="M26" s="1" t="s">
        <v>361</v>
      </c>
      <c r="N26" s="1" t="s">
        <v>17</v>
      </c>
      <c r="O26">
        <f t="shared" si="0"/>
        <v>7</v>
      </c>
      <c r="P26" s="20">
        <f>(Table5[[#This Row],[Likes]]+Table5[[#This Row],[Shares]]+Table5[[#This Row],[Comments]])/Table5[[#This Row],[Impressions]]</f>
        <v>6.6160796354604659E-2</v>
      </c>
      <c r="Q26" s="27">
        <f>Table5[[#This Row],[Likes]]+Table5[[#This Row],[Shares]]+Table5[[#This Row],[Comments]]</f>
        <v>3383</v>
      </c>
    </row>
    <row r="27" spans="1:17" x14ac:dyDescent="0.3">
      <c r="A27" s="1" t="s">
        <v>137</v>
      </c>
      <c r="B27" s="1" t="s">
        <v>14</v>
      </c>
      <c r="C27" s="2">
        <v>45336</v>
      </c>
      <c r="D27" s="1" t="s">
        <v>15</v>
      </c>
      <c r="E27" s="1" t="s">
        <v>30</v>
      </c>
      <c r="F27" s="3">
        <v>1830</v>
      </c>
      <c r="G27" s="3">
        <v>112</v>
      </c>
      <c r="H27" s="3">
        <v>181</v>
      </c>
      <c r="I27" s="3">
        <v>31870</v>
      </c>
      <c r="J27" s="3">
        <v>55742</v>
      </c>
      <c r="K27" s="3">
        <v>263</v>
      </c>
      <c r="L27" s="1" t="s">
        <v>39</v>
      </c>
      <c r="M27" s="1" t="s">
        <v>37</v>
      </c>
      <c r="N27" s="1" t="s">
        <v>17</v>
      </c>
      <c r="O27">
        <f t="shared" si="0"/>
        <v>7</v>
      </c>
      <c r="P27" s="20">
        <f>(Table5[[#This Row],[Likes]]+Table5[[#This Row],[Shares]]+Table5[[#This Row],[Comments]])/Table5[[#This Row],[Impressions]]</f>
        <v>6.6614370881706936E-2</v>
      </c>
      <c r="Q27" s="27">
        <f>Table5[[#This Row],[Likes]]+Table5[[#This Row],[Shares]]+Table5[[#This Row],[Comments]]</f>
        <v>2123</v>
      </c>
    </row>
    <row r="28" spans="1:17" x14ac:dyDescent="0.3">
      <c r="A28" s="1" t="s">
        <v>151</v>
      </c>
      <c r="B28" s="1" t="s">
        <v>14</v>
      </c>
      <c r="C28" s="2">
        <v>45340</v>
      </c>
      <c r="D28" s="1" t="s">
        <v>24</v>
      </c>
      <c r="E28" s="1" t="s">
        <v>43</v>
      </c>
      <c r="F28" s="3">
        <v>1516</v>
      </c>
      <c r="G28" s="3">
        <v>215</v>
      </c>
      <c r="H28" s="3">
        <v>332</v>
      </c>
      <c r="I28" s="3">
        <v>58981</v>
      </c>
      <c r="J28" s="3">
        <v>36118</v>
      </c>
      <c r="K28" s="3">
        <v>211</v>
      </c>
      <c r="L28" s="1" t="s">
        <v>37</v>
      </c>
      <c r="M28" s="1" t="s">
        <v>361</v>
      </c>
      <c r="N28" s="1" t="s">
        <v>49</v>
      </c>
      <c r="O28">
        <f t="shared" si="0"/>
        <v>8</v>
      </c>
      <c r="P28" s="20">
        <f>(Table5[[#This Row],[Likes]]+Table5[[#This Row],[Shares]]+Table5[[#This Row],[Comments]])/Table5[[#This Row],[Impressions]]</f>
        <v>3.4977365592309385E-2</v>
      </c>
      <c r="Q28" s="27">
        <f>Table5[[#This Row],[Likes]]+Table5[[#This Row],[Shares]]+Table5[[#This Row],[Comments]]</f>
        <v>2063</v>
      </c>
    </row>
    <row r="29" spans="1:17" x14ac:dyDescent="0.3">
      <c r="A29" s="1" t="s">
        <v>309</v>
      </c>
      <c r="B29" s="1" t="s">
        <v>14</v>
      </c>
      <c r="C29" s="2">
        <v>45341</v>
      </c>
      <c r="D29" s="1" t="s">
        <v>15</v>
      </c>
      <c r="E29" s="1" t="s">
        <v>27</v>
      </c>
      <c r="F29" s="3">
        <v>4752</v>
      </c>
      <c r="G29" s="3">
        <v>449</v>
      </c>
      <c r="H29" s="3">
        <v>309</v>
      </c>
      <c r="I29" s="3">
        <v>58530</v>
      </c>
      <c r="J29" s="3">
        <v>26630</v>
      </c>
      <c r="K29" s="3">
        <v>234</v>
      </c>
      <c r="L29" s="1" t="s">
        <v>20</v>
      </c>
      <c r="M29" s="1" t="s">
        <v>361</v>
      </c>
      <c r="N29" s="1" t="s">
        <v>21</v>
      </c>
      <c r="O29">
        <f t="shared" si="0"/>
        <v>8</v>
      </c>
      <c r="P29" s="20">
        <f>(Table5[[#This Row],[Likes]]+Table5[[#This Row],[Shares]]+Table5[[#This Row],[Comments]])/Table5[[#This Row],[Impressions]]</f>
        <v>9.4139757389372969E-2</v>
      </c>
      <c r="Q29" s="27">
        <f>Table5[[#This Row],[Likes]]+Table5[[#This Row],[Shares]]+Table5[[#This Row],[Comments]]</f>
        <v>5510</v>
      </c>
    </row>
    <row r="30" spans="1:17" x14ac:dyDescent="0.3">
      <c r="A30" s="1" t="s">
        <v>316</v>
      </c>
      <c r="B30" s="1" t="s">
        <v>23</v>
      </c>
      <c r="C30" s="2">
        <v>45343</v>
      </c>
      <c r="D30" s="1" t="s">
        <v>24</v>
      </c>
      <c r="E30" s="1" t="s">
        <v>34</v>
      </c>
      <c r="F30" s="3">
        <v>2604</v>
      </c>
      <c r="G30" s="3">
        <v>439</v>
      </c>
      <c r="H30" s="3">
        <v>148</v>
      </c>
      <c r="I30" s="3">
        <v>58468</v>
      </c>
      <c r="J30" s="3">
        <v>39629</v>
      </c>
      <c r="K30" s="3">
        <v>163</v>
      </c>
      <c r="L30" s="1" t="s">
        <v>358</v>
      </c>
      <c r="M30" s="1" t="s">
        <v>37</v>
      </c>
      <c r="N30" s="1" t="s">
        <v>17</v>
      </c>
      <c r="O30">
        <f t="shared" si="0"/>
        <v>8</v>
      </c>
      <c r="P30" s="20">
        <f>(Table5[[#This Row],[Likes]]+Table5[[#This Row],[Shares]]+Table5[[#This Row],[Comments]])/Table5[[#This Row],[Impressions]]</f>
        <v>5.4576862557296296E-2</v>
      </c>
      <c r="Q30" s="27">
        <f>Table5[[#This Row],[Likes]]+Table5[[#This Row],[Shares]]+Table5[[#This Row],[Comments]]</f>
        <v>3191</v>
      </c>
    </row>
    <row r="31" spans="1:17" x14ac:dyDescent="0.3">
      <c r="A31" s="1" t="s">
        <v>162</v>
      </c>
      <c r="B31" s="1" t="s">
        <v>14</v>
      </c>
      <c r="C31" s="2">
        <v>45344</v>
      </c>
      <c r="D31" s="1" t="s">
        <v>15</v>
      </c>
      <c r="E31" s="1" t="s">
        <v>25</v>
      </c>
      <c r="F31" s="3">
        <v>1902</v>
      </c>
      <c r="G31" s="3">
        <v>394</v>
      </c>
      <c r="H31" s="3">
        <v>279</v>
      </c>
      <c r="I31" s="3">
        <v>24615</v>
      </c>
      <c r="J31" s="3">
        <v>51330</v>
      </c>
      <c r="K31" s="3">
        <v>176</v>
      </c>
      <c r="L31" s="1" t="s">
        <v>39</v>
      </c>
      <c r="M31" s="1" t="s">
        <v>37</v>
      </c>
      <c r="N31" s="1" t="s">
        <v>17</v>
      </c>
      <c r="O31">
        <f t="shared" si="0"/>
        <v>8</v>
      </c>
      <c r="P31" s="20">
        <f>(Table5[[#This Row],[Likes]]+Table5[[#This Row],[Shares]]+Table5[[#This Row],[Comments]])/Table5[[#This Row],[Impressions]]</f>
        <v>0.10461100954702417</v>
      </c>
      <c r="Q31" s="27">
        <f>Table5[[#This Row],[Likes]]+Table5[[#This Row],[Shares]]+Table5[[#This Row],[Comments]]</f>
        <v>2575</v>
      </c>
    </row>
    <row r="32" spans="1:17" x14ac:dyDescent="0.3">
      <c r="A32" s="1" t="s">
        <v>156</v>
      </c>
      <c r="B32" s="1" t="s">
        <v>23</v>
      </c>
      <c r="C32" s="2">
        <v>45346</v>
      </c>
      <c r="D32" s="1" t="s">
        <v>24</v>
      </c>
      <c r="E32" s="1" t="s">
        <v>30</v>
      </c>
      <c r="F32" s="3">
        <v>1022</v>
      </c>
      <c r="G32" s="3">
        <v>463</v>
      </c>
      <c r="H32" s="3">
        <v>360</v>
      </c>
      <c r="I32" s="3">
        <v>51468</v>
      </c>
      <c r="J32" s="3">
        <v>24279</v>
      </c>
      <c r="K32" s="3">
        <v>230</v>
      </c>
      <c r="L32" s="1" t="s">
        <v>20</v>
      </c>
      <c r="M32" s="1" t="s">
        <v>358</v>
      </c>
      <c r="N32" s="1" t="s">
        <v>17</v>
      </c>
      <c r="O32">
        <f t="shared" si="0"/>
        <v>8</v>
      </c>
      <c r="P32" s="20">
        <f>(Table5[[#This Row],[Likes]]+Table5[[#This Row],[Shares]]+Table5[[#This Row],[Comments]])/Table5[[#This Row],[Impressions]]</f>
        <v>3.5847516903707161E-2</v>
      </c>
      <c r="Q32" s="27">
        <f>Table5[[#This Row],[Likes]]+Table5[[#This Row],[Shares]]+Table5[[#This Row],[Comments]]</f>
        <v>1845</v>
      </c>
    </row>
    <row r="33" spans="1:17" x14ac:dyDescent="0.3">
      <c r="A33" s="1" t="s">
        <v>225</v>
      </c>
      <c r="B33" s="1" t="s">
        <v>29</v>
      </c>
      <c r="C33" s="2">
        <v>45346</v>
      </c>
      <c r="D33" s="1" t="s">
        <v>51</v>
      </c>
      <c r="E33" s="1" t="s">
        <v>16</v>
      </c>
      <c r="F33" s="3">
        <v>4221</v>
      </c>
      <c r="G33" s="3">
        <v>307</v>
      </c>
      <c r="H33" s="3">
        <v>58</v>
      </c>
      <c r="I33" s="3">
        <v>45080</v>
      </c>
      <c r="J33" s="3">
        <v>37214</v>
      </c>
      <c r="K33" s="3">
        <v>240</v>
      </c>
      <c r="L33" s="1" t="s">
        <v>20</v>
      </c>
      <c r="M33" s="1" t="s">
        <v>39</v>
      </c>
      <c r="N33" s="1" t="s">
        <v>52</v>
      </c>
      <c r="O33">
        <f t="shared" si="0"/>
        <v>8</v>
      </c>
      <c r="P33" s="20">
        <f>(Table5[[#This Row],[Likes]]+Table5[[#This Row],[Shares]]+Table5[[#This Row],[Comments]])/Table5[[#This Row],[Impressions]]</f>
        <v>0.10173025732031943</v>
      </c>
      <c r="Q33" s="27">
        <f>Table5[[#This Row],[Likes]]+Table5[[#This Row],[Shares]]+Table5[[#This Row],[Comments]]</f>
        <v>4586</v>
      </c>
    </row>
    <row r="34" spans="1:17" x14ac:dyDescent="0.3">
      <c r="A34" s="1" t="s">
        <v>263</v>
      </c>
      <c r="B34" s="1" t="s">
        <v>29</v>
      </c>
      <c r="C34" s="2">
        <v>45346</v>
      </c>
      <c r="D34" s="1" t="s">
        <v>15</v>
      </c>
      <c r="E34" s="1" t="s">
        <v>30</v>
      </c>
      <c r="F34" s="3">
        <v>4653</v>
      </c>
      <c r="G34" s="3">
        <v>226</v>
      </c>
      <c r="H34" s="3">
        <v>349</v>
      </c>
      <c r="I34" s="3">
        <v>56876</v>
      </c>
      <c r="J34" s="3">
        <v>28452</v>
      </c>
      <c r="K34" s="3">
        <v>257</v>
      </c>
      <c r="L34" s="1" t="s">
        <v>20</v>
      </c>
      <c r="M34" s="1" t="s">
        <v>359</v>
      </c>
      <c r="N34" s="1" t="s">
        <v>21</v>
      </c>
      <c r="O34">
        <f t="shared" si="0"/>
        <v>8</v>
      </c>
      <c r="P34" s="20">
        <f>(Table5[[#This Row],[Likes]]+Table5[[#This Row],[Shares]]+Table5[[#This Row],[Comments]])/Table5[[#This Row],[Impressions]]</f>
        <v>9.191926295801392E-2</v>
      </c>
      <c r="Q34" s="27">
        <f>Table5[[#This Row],[Likes]]+Table5[[#This Row],[Shares]]+Table5[[#This Row],[Comments]]</f>
        <v>5228</v>
      </c>
    </row>
    <row r="35" spans="1:17" x14ac:dyDescent="0.3">
      <c r="A35" s="1" t="s">
        <v>127</v>
      </c>
      <c r="B35" s="1" t="s">
        <v>14</v>
      </c>
      <c r="C35" s="2">
        <v>45351</v>
      </c>
      <c r="D35" s="1" t="s">
        <v>15</v>
      </c>
      <c r="E35" s="1" t="s">
        <v>43</v>
      </c>
      <c r="F35" s="3">
        <v>1100</v>
      </c>
      <c r="G35" s="3">
        <v>229</v>
      </c>
      <c r="H35" s="3">
        <v>312</v>
      </c>
      <c r="I35" s="3">
        <v>25641</v>
      </c>
      <c r="J35" s="3">
        <v>34601</v>
      </c>
      <c r="K35" s="3">
        <v>169</v>
      </c>
      <c r="L35" s="1" t="s">
        <v>20</v>
      </c>
      <c r="M35" s="1" t="s">
        <v>361</v>
      </c>
      <c r="N35" s="1" t="s">
        <v>21</v>
      </c>
      <c r="O35">
        <f t="shared" si="0"/>
        <v>9</v>
      </c>
      <c r="P35" s="20">
        <f>(Table5[[#This Row],[Likes]]+Table5[[#This Row],[Shares]]+Table5[[#This Row],[Comments]])/Table5[[#This Row],[Impressions]]</f>
        <v>6.3999063999063993E-2</v>
      </c>
      <c r="Q35" s="27">
        <f>Table5[[#This Row],[Likes]]+Table5[[#This Row],[Shares]]+Table5[[#This Row],[Comments]]</f>
        <v>1641</v>
      </c>
    </row>
    <row r="36" spans="1:17" x14ac:dyDescent="0.3">
      <c r="A36" s="1" t="s">
        <v>61</v>
      </c>
      <c r="B36" s="1" t="s">
        <v>29</v>
      </c>
      <c r="C36" s="2">
        <v>45356</v>
      </c>
      <c r="D36" s="1" t="s">
        <v>51</v>
      </c>
      <c r="E36" s="1" t="s">
        <v>19</v>
      </c>
      <c r="F36" s="3">
        <v>3558</v>
      </c>
      <c r="G36" s="3">
        <v>314</v>
      </c>
      <c r="H36" s="3">
        <v>199</v>
      </c>
      <c r="I36" s="3">
        <v>49612</v>
      </c>
      <c r="J36" s="3">
        <v>53929</v>
      </c>
      <c r="K36" s="3">
        <v>206</v>
      </c>
      <c r="L36" s="1" t="s">
        <v>20</v>
      </c>
      <c r="M36" s="1" t="s">
        <v>39</v>
      </c>
      <c r="N36" s="1" t="s">
        <v>52</v>
      </c>
      <c r="O36">
        <f t="shared" si="0"/>
        <v>10</v>
      </c>
      <c r="P36" s="20">
        <f>(Table5[[#This Row],[Likes]]+Table5[[#This Row],[Shares]]+Table5[[#This Row],[Comments]])/Table5[[#This Row],[Impressions]]</f>
        <v>8.205676046117874E-2</v>
      </c>
      <c r="Q36" s="27">
        <f>Table5[[#This Row],[Likes]]+Table5[[#This Row],[Shares]]+Table5[[#This Row],[Comments]]</f>
        <v>4071</v>
      </c>
    </row>
    <row r="37" spans="1:17" x14ac:dyDescent="0.3">
      <c r="A37" s="1" t="s">
        <v>38</v>
      </c>
      <c r="B37" s="1" t="s">
        <v>23</v>
      </c>
      <c r="C37" s="2">
        <v>45357</v>
      </c>
      <c r="D37" s="1" t="s">
        <v>15</v>
      </c>
      <c r="E37" s="1" t="s">
        <v>16</v>
      </c>
      <c r="F37" s="3">
        <v>1971</v>
      </c>
      <c r="G37" s="3">
        <v>370</v>
      </c>
      <c r="H37" s="3">
        <v>306</v>
      </c>
      <c r="I37" s="3">
        <v>31316</v>
      </c>
      <c r="J37" s="3">
        <v>27897</v>
      </c>
      <c r="K37" s="3">
        <v>88</v>
      </c>
      <c r="L37" s="1" t="s">
        <v>39</v>
      </c>
      <c r="M37" s="1" t="s">
        <v>361</v>
      </c>
      <c r="N37" s="1" t="s">
        <v>21</v>
      </c>
      <c r="O37">
        <f t="shared" si="0"/>
        <v>10</v>
      </c>
      <c r="P37" s="20">
        <f>(Table5[[#This Row],[Likes]]+Table5[[#This Row],[Shares]]+Table5[[#This Row],[Comments]])/Table5[[#This Row],[Impressions]]</f>
        <v>8.4525482181632389E-2</v>
      </c>
      <c r="Q37" s="27">
        <f>Table5[[#This Row],[Likes]]+Table5[[#This Row],[Shares]]+Table5[[#This Row],[Comments]]</f>
        <v>2647</v>
      </c>
    </row>
    <row r="38" spans="1:17" x14ac:dyDescent="0.3">
      <c r="A38" s="1" t="s">
        <v>283</v>
      </c>
      <c r="B38" s="1" t="s">
        <v>14</v>
      </c>
      <c r="C38" s="2">
        <v>45357</v>
      </c>
      <c r="D38" s="1" t="s">
        <v>15</v>
      </c>
      <c r="E38" s="1" t="s">
        <v>32</v>
      </c>
      <c r="F38" s="3">
        <v>3529</v>
      </c>
      <c r="G38" s="3">
        <v>263</v>
      </c>
      <c r="H38" s="3">
        <v>107</v>
      </c>
      <c r="I38" s="3">
        <v>26570</v>
      </c>
      <c r="J38" s="3">
        <v>19367</v>
      </c>
      <c r="K38" s="3">
        <v>96</v>
      </c>
      <c r="L38" s="1" t="s">
        <v>20</v>
      </c>
      <c r="M38" s="1" t="s">
        <v>361</v>
      </c>
      <c r="N38" s="1" t="s">
        <v>21</v>
      </c>
      <c r="O38">
        <f t="shared" si="0"/>
        <v>10</v>
      </c>
      <c r="P38" s="20">
        <f>(Table5[[#This Row],[Likes]]+Table5[[#This Row],[Shares]]+Table5[[#This Row],[Comments]])/Table5[[#This Row],[Impressions]]</f>
        <v>0.14674444862627023</v>
      </c>
      <c r="Q38" s="27">
        <f>Table5[[#This Row],[Likes]]+Table5[[#This Row],[Shares]]+Table5[[#This Row],[Comments]]</f>
        <v>3899</v>
      </c>
    </row>
    <row r="39" spans="1:17" x14ac:dyDescent="0.3">
      <c r="A39" s="1" t="s">
        <v>81</v>
      </c>
      <c r="B39" s="1" t="s">
        <v>29</v>
      </c>
      <c r="C39" s="2">
        <v>45365</v>
      </c>
      <c r="D39" s="1" t="s">
        <v>51</v>
      </c>
      <c r="E39" s="1" t="s">
        <v>43</v>
      </c>
      <c r="F39" s="3">
        <v>3361</v>
      </c>
      <c r="G39" s="3">
        <v>188</v>
      </c>
      <c r="H39" s="3">
        <v>358</v>
      </c>
      <c r="I39" s="3">
        <v>39838</v>
      </c>
      <c r="J39" s="3">
        <v>24536</v>
      </c>
      <c r="K39" s="3">
        <v>120</v>
      </c>
      <c r="L39" s="1" t="s">
        <v>20</v>
      </c>
      <c r="M39" s="1" t="s">
        <v>39</v>
      </c>
      <c r="N39" s="1" t="s">
        <v>52</v>
      </c>
      <c r="O39">
        <f t="shared" si="0"/>
        <v>11</v>
      </c>
      <c r="P39" s="20">
        <f>(Table5[[#This Row],[Likes]]+Table5[[#This Row],[Shares]]+Table5[[#This Row],[Comments]])/Table5[[#This Row],[Impressions]]</f>
        <v>9.8072192379135503E-2</v>
      </c>
      <c r="Q39" s="27">
        <f>Table5[[#This Row],[Likes]]+Table5[[#This Row],[Shares]]+Table5[[#This Row],[Comments]]</f>
        <v>3907</v>
      </c>
    </row>
    <row r="40" spans="1:17" x14ac:dyDescent="0.3">
      <c r="A40" s="1" t="s">
        <v>132</v>
      </c>
      <c r="B40" s="1" t="s">
        <v>23</v>
      </c>
      <c r="C40" s="2">
        <v>45366</v>
      </c>
      <c r="D40" s="1" t="s">
        <v>24</v>
      </c>
      <c r="E40" s="1" t="s">
        <v>34</v>
      </c>
      <c r="F40" s="3">
        <v>4969</v>
      </c>
      <c r="G40" s="3">
        <v>433</v>
      </c>
      <c r="H40" s="3">
        <v>237</v>
      </c>
      <c r="I40" s="3">
        <v>59552</v>
      </c>
      <c r="J40" s="3">
        <v>23885</v>
      </c>
      <c r="K40" s="3">
        <v>157</v>
      </c>
      <c r="L40" s="1" t="s">
        <v>20</v>
      </c>
      <c r="M40" s="1" t="s">
        <v>358</v>
      </c>
      <c r="N40" s="1" t="s">
        <v>17</v>
      </c>
      <c r="O40">
        <f t="shared" si="0"/>
        <v>11</v>
      </c>
      <c r="P40" s="20">
        <f>(Table5[[#This Row],[Likes]]+Table5[[#This Row],[Shares]]+Table5[[#This Row],[Comments]])/Table5[[#This Row],[Impressions]]</f>
        <v>9.4690354648038683E-2</v>
      </c>
      <c r="Q40" s="27">
        <f>Table5[[#This Row],[Likes]]+Table5[[#This Row],[Shares]]+Table5[[#This Row],[Comments]]</f>
        <v>5639</v>
      </c>
    </row>
    <row r="41" spans="1:17" x14ac:dyDescent="0.3">
      <c r="A41" s="1" t="s">
        <v>130</v>
      </c>
      <c r="B41" s="1" t="s">
        <v>23</v>
      </c>
      <c r="C41" s="2">
        <v>45367</v>
      </c>
      <c r="D41" s="1" t="s">
        <v>24</v>
      </c>
      <c r="E41" s="1" t="s">
        <v>27</v>
      </c>
      <c r="F41" s="3">
        <v>2895</v>
      </c>
      <c r="G41" s="3">
        <v>292</v>
      </c>
      <c r="H41" s="3">
        <v>90</v>
      </c>
      <c r="I41" s="3">
        <v>24223</v>
      </c>
      <c r="J41" s="3">
        <v>54626</v>
      </c>
      <c r="K41" s="3">
        <v>114</v>
      </c>
      <c r="L41" s="1" t="s">
        <v>39</v>
      </c>
      <c r="M41" s="1" t="s">
        <v>37</v>
      </c>
      <c r="N41" s="1" t="s">
        <v>17</v>
      </c>
      <c r="O41">
        <f t="shared" si="0"/>
        <v>11</v>
      </c>
      <c r="P41" s="20">
        <f>(Table5[[#This Row],[Likes]]+Table5[[#This Row],[Shares]]+Table5[[#This Row],[Comments]])/Table5[[#This Row],[Impressions]]</f>
        <v>0.13528464682326713</v>
      </c>
      <c r="Q41" s="27">
        <f>Table5[[#This Row],[Likes]]+Table5[[#This Row],[Shares]]+Table5[[#This Row],[Comments]]</f>
        <v>3277</v>
      </c>
    </row>
    <row r="42" spans="1:17" x14ac:dyDescent="0.3">
      <c r="A42" s="1" t="s">
        <v>302</v>
      </c>
      <c r="B42" s="1" t="s">
        <v>29</v>
      </c>
      <c r="C42" s="2">
        <v>45368</v>
      </c>
      <c r="D42" s="1" t="s">
        <v>51</v>
      </c>
      <c r="E42" s="1" t="s">
        <v>19</v>
      </c>
      <c r="F42" s="3">
        <v>2692</v>
      </c>
      <c r="G42" s="3">
        <v>446</v>
      </c>
      <c r="H42" s="3">
        <v>216</v>
      </c>
      <c r="I42" s="3">
        <v>45818</v>
      </c>
      <c r="J42" s="3">
        <v>62723</v>
      </c>
      <c r="K42" s="3">
        <v>85</v>
      </c>
      <c r="L42" s="1" t="s">
        <v>20</v>
      </c>
      <c r="M42" s="1" t="s">
        <v>39</v>
      </c>
      <c r="N42" s="1" t="s">
        <v>52</v>
      </c>
      <c r="O42">
        <f t="shared" si="0"/>
        <v>12</v>
      </c>
      <c r="P42" s="20">
        <f>(Table5[[#This Row],[Likes]]+Table5[[#This Row],[Shares]]+Table5[[#This Row],[Comments]])/Table5[[#This Row],[Impressions]]</f>
        <v>7.3202671439172376E-2</v>
      </c>
      <c r="Q42" s="27">
        <f>Table5[[#This Row],[Likes]]+Table5[[#This Row],[Shares]]+Table5[[#This Row],[Comments]]</f>
        <v>3354</v>
      </c>
    </row>
    <row r="43" spans="1:17" x14ac:dyDescent="0.3">
      <c r="A43" s="1" t="s">
        <v>234</v>
      </c>
      <c r="B43" s="1" t="s">
        <v>23</v>
      </c>
      <c r="C43" s="2">
        <v>45369</v>
      </c>
      <c r="D43" s="1" t="s">
        <v>15</v>
      </c>
      <c r="E43" s="1" t="s">
        <v>25</v>
      </c>
      <c r="F43" s="3">
        <v>2033</v>
      </c>
      <c r="G43" s="3">
        <v>420</v>
      </c>
      <c r="H43" s="3">
        <v>94</v>
      </c>
      <c r="I43" s="3">
        <v>56290</v>
      </c>
      <c r="J43" s="3">
        <v>57391</v>
      </c>
      <c r="K43" s="3">
        <v>196</v>
      </c>
      <c r="L43" s="1" t="s">
        <v>37</v>
      </c>
      <c r="M43" s="1" t="s">
        <v>361</v>
      </c>
      <c r="N43" s="1" t="s">
        <v>17</v>
      </c>
      <c r="O43">
        <f t="shared" si="0"/>
        <v>12</v>
      </c>
      <c r="P43" s="20">
        <f>(Table5[[#This Row],[Likes]]+Table5[[#This Row],[Shares]]+Table5[[#This Row],[Comments]])/Table5[[#This Row],[Impressions]]</f>
        <v>4.5247823769763724E-2</v>
      </c>
      <c r="Q43" s="27">
        <f>Table5[[#This Row],[Likes]]+Table5[[#This Row],[Shares]]+Table5[[#This Row],[Comments]]</f>
        <v>2547</v>
      </c>
    </row>
    <row r="44" spans="1:17" x14ac:dyDescent="0.3">
      <c r="A44" s="1" t="s">
        <v>215</v>
      </c>
      <c r="B44" s="1" t="s">
        <v>23</v>
      </c>
      <c r="C44" s="2">
        <v>45370</v>
      </c>
      <c r="D44" s="1" t="s">
        <v>15</v>
      </c>
      <c r="E44" s="1" t="s">
        <v>43</v>
      </c>
      <c r="F44" s="3">
        <v>2191</v>
      </c>
      <c r="G44" s="3">
        <v>288</v>
      </c>
      <c r="H44" s="3">
        <v>83</v>
      </c>
      <c r="I44" s="3">
        <v>59606</v>
      </c>
      <c r="J44" s="3">
        <v>24765</v>
      </c>
      <c r="K44" s="3">
        <v>281</v>
      </c>
      <c r="L44" s="1" t="s">
        <v>39</v>
      </c>
      <c r="M44" s="1" t="s">
        <v>361</v>
      </c>
      <c r="N44" s="1" t="s">
        <v>21</v>
      </c>
      <c r="O44">
        <f t="shared" si="0"/>
        <v>12</v>
      </c>
      <c r="P44" s="20">
        <f>(Table5[[#This Row],[Likes]]+Table5[[#This Row],[Shares]]+Table5[[#This Row],[Comments]])/Table5[[#This Row],[Impressions]]</f>
        <v>4.2982250109049422E-2</v>
      </c>
      <c r="Q44" s="27">
        <f>Table5[[#This Row],[Likes]]+Table5[[#This Row],[Shares]]+Table5[[#This Row],[Comments]]</f>
        <v>2562</v>
      </c>
    </row>
    <row r="45" spans="1:17" x14ac:dyDescent="0.3">
      <c r="A45" s="1" t="s">
        <v>216</v>
      </c>
      <c r="B45" s="1" t="s">
        <v>14</v>
      </c>
      <c r="C45" s="2">
        <v>45370</v>
      </c>
      <c r="D45" s="1" t="s">
        <v>15</v>
      </c>
      <c r="E45" s="1" t="s">
        <v>43</v>
      </c>
      <c r="F45" s="3">
        <v>2878</v>
      </c>
      <c r="G45" s="3">
        <v>278</v>
      </c>
      <c r="H45" s="3">
        <v>255</v>
      </c>
      <c r="I45" s="3">
        <v>47235</v>
      </c>
      <c r="J45" s="3">
        <v>57922</v>
      </c>
      <c r="K45" s="3">
        <v>112</v>
      </c>
      <c r="L45" s="1" t="s">
        <v>39</v>
      </c>
      <c r="M45" s="1" t="s">
        <v>37</v>
      </c>
      <c r="N45" s="1" t="s">
        <v>17</v>
      </c>
      <c r="O45">
        <f t="shared" si="0"/>
        <v>12</v>
      </c>
      <c r="P45" s="20">
        <f>(Table5[[#This Row],[Likes]]+Table5[[#This Row],[Shares]]+Table5[[#This Row],[Comments]])/Table5[[#This Row],[Impressions]]</f>
        <v>7.2213401079707848E-2</v>
      </c>
      <c r="Q45" s="27">
        <f>Table5[[#This Row],[Likes]]+Table5[[#This Row],[Shares]]+Table5[[#This Row],[Comments]]</f>
        <v>3411</v>
      </c>
    </row>
    <row r="46" spans="1:17" x14ac:dyDescent="0.3">
      <c r="A46" s="1" t="s">
        <v>129</v>
      </c>
      <c r="B46" s="1" t="s">
        <v>14</v>
      </c>
      <c r="C46" s="2">
        <v>45373</v>
      </c>
      <c r="D46" s="1" t="s">
        <v>24</v>
      </c>
      <c r="E46" s="1" t="s">
        <v>16</v>
      </c>
      <c r="F46" s="3">
        <v>2319</v>
      </c>
      <c r="G46" s="3">
        <v>484</v>
      </c>
      <c r="H46" s="3">
        <v>193</v>
      </c>
      <c r="I46" s="3">
        <v>21202</v>
      </c>
      <c r="J46" s="3">
        <v>18091</v>
      </c>
      <c r="K46" s="3">
        <v>241</v>
      </c>
      <c r="L46" s="1" t="s">
        <v>37</v>
      </c>
      <c r="M46" s="1" t="s">
        <v>361</v>
      </c>
      <c r="N46" s="1" t="s">
        <v>49</v>
      </c>
      <c r="O46">
        <f t="shared" si="0"/>
        <v>12</v>
      </c>
      <c r="P46" s="20">
        <f>(Table5[[#This Row],[Likes]]+Table5[[#This Row],[Shares]]+Table5[[#This Row],[Comments]])/Table5[[#This Row],[Impressions]]</f>
        <v>0.14130742382794076</v>
      </c>
      <c r="Q46" s="27">
        <f>Table5[[#This Row],[Likes]]+Table5[[#This Row],[Shares]]+Table5[[#This Row],[Comments]]</f>
        <v>2996</v>
      </c>
    </row>
    <row r="47" spans="1:17" x14ac:dyDescent="0.3">
      <c r="A47" s="1" t="s">
        <v>126</v>
      </c>
      <c r="B47" s="1" t="s">
        <v>29</v>
      </c>
      <c r="C47" s="2">
        <v>45376</v>
      </c>
      <c r="D47" s="1" t="s">
        <v>51</v>
      </c>
      <c r="E47" s="1" t="s">
        <v>19</v>
      </c>
      <c r="F47" s="3">
        <v>1948</v>
      </c>
      <c r="G47" s="3">
        <v>155</v>
      </c>
      <c r="H47" s="3">
        <v>315</v>
      </c>
      <c r="I47" s="3">
        <v>30321</v>
      </c>
      <c r="J47" s="3">
        <v>57121</v>
      </c>
      <c r="K47" s="3">
        <v>82</v>
      </c>
      <c r="L47" s="1" t="s">
        <v>20</v>
      </c>
      <c r="M47" s="1" t="s">
        <v>39</v>
      </c>
      <c r="N47" s="1" t="s">
        <v>52</v>
      </c>
      <c r="O47">
        <f t="shared" si="0"/>
        <v>13</v>
      </c>
      <c r="P47" s="20">
        <f>(Table5[[#This Row],[Likes]]+Table5[[#This Row],[Shares]]+Table5[[#This Row],[Comments]])/Table5[[#This Row],[Impressions]]</f>
        <v>7.974671020085089E-2</v>
      </c>
      <c r="Q47" s="27">
        <f>Table5[[#This Row],[Likes]]+Table5[[#This Row],[Shares]]+Table5[[#This Row],[Comments]]</f>
        <v>2418</v>
      </c>
    </row>
    <row r="48" spans="1:17" x14ac:dyDescent="0.3">
      <c r="A48" s="1" t="s">
        <v>297</v>
      </c>
      <c r="B48" s="1" t="s">
        <v>29</v>
      </c>
      <c r="C48" s="2">
        <v>45378</v>
      </c>
      <c r="D48" s="1" t="s">
        <v>15</v>
      </c>
      <c r="E48" s="1" t="s">
        <v>30</v>
      </c>
      <c r="F48" s="3">
        <v>2399</v>
      </c>
      <c r="G48" s="3">
        <v>191</v>
      </c>
      <c r="H48" s="3">
        <v>221</v>
      </c>
      <c r="I48" s="3">
        <v>51603</v>
      </c>
      <c r="J48" s="3">
        <v>40033</v>
      </c>
      <c r="K48" s="3">
        <v>173</v>
      </c>
      <c r="L48" s="1" t="s">
        <v>20</v>
      </c>
      <c r="M48" s="1" t="s">
        <v>359</v>
      </c>
      <c r="N48" s="1" t="s">
        <v>21</v>
      </c>
      <c r="O48">
        <f t="shared" si="0"/>
        <v>13</v>
      </c>
      <c r="P48" s="20">
        <f>(Table5[[#This Row],[Likes]]+Table5[[#This Row],[Shares]]+Table5[[#This Row],[Comments]])/Table5[[#This Row],[Impressions]]</f>
        <v>5.4473577117609438E-2</v>
      </c>
      <c r="Q48" s="27">
        <f>Table5[[#This Row],[Likes]]+Table5[[#This Row],[Shares]]+Table5[[#This Row],[Comments]]</f>
        <v>2811</v>
      </c>
    </row>
    <row r="49" spans="1:17" x14ac:dyDescent="0.3">
      <c r="A49" s="1" t="s">
        <v>102</v>
      </c>
      <c r="B49" s="1" t="s">
        <v>23</v>
      </c>
      <c r="C49" s="2">
        <v>45379</v>
      </c>
      <c r="D49" s="1" t="s">
        <v>15</v>
      </c>
      <c r="E49" s="1" t="s">
        <v>30</v>
      </c>
      <c r="F49" s="3">
        <v>3276</v>
      </c>
      <c r="G49" s="3">
        <v>421</v>
      </c>
      <c r="H49" s="3">
        <v>114</v>
      </c>
      <c r="I49" s="3">
        <v>20580</v>
      </c>
      <c r="J49" s="3">
        <v>30324</v>
      </c>
      <c r="K49" s="3">
        <v>221</v>
      </c>
      <c r="L49" s="1" t="s">
        <v>39</v>
      </c>
      <c r="M49" s="1" t="s">
        <v>361</v>
      </c>
      <c r="N49" s="1" t="s">
        <v>21</v>
      </c>
      <c r="O49">
        <f t="shared" si="0"/>
        <v>13</v>
      </c>
      <c r="P49" s="20">
        <f>(Table5[[#This Row],[Likes]]+Table5[[#This Row],[Shares]]+Table5[[#This Row],[Comments]])/Table5[[#This Row],[Impressions]]</f>
        <v>0.18517978620019437</v>
      </c>
      <c r="Q49" s="27">
        <f>Table5[[#This Row],[Likes]]+Table5[[#This Row],[Shares]]+Table5[[#This Row],[Comments]]</f>
        <v>3811</v>
      </c>
    </row>
    <row r="50" spans="1:17" x14ac:dyDescent="0.3">
      <c r="A50" s="1" t="s">
        <v>265</v>
      </c>
      <c r="B50" s="1" t="s">
        <v>14</v>
      </c>
      <c r="C50" s="2">
        <v>45379</v>
      </c>
      <c r="D50" s="1" t="s">
        <v>15</v>
      </c>
      <c r="E50" s="1" t="s">
        <v>32</v>
      </c>
      <c r="F50" s="3">
        <v>1673</v>
      </c>
      <c r="G50" s="3">
        <v>280</v>
      </c>
      <c r="H50" s="3">
        <v>67</v>
      </c>
      <c r="I50" s="3">
        <v>29847</v>
      </c>
      <c r="J50" s="3">
        <v>48016</v>
      </c>
      <c r="K50" s="3">
        <v>213</v>
      </c>
      <c r="L50" s="1" t="s">
        <v>39</v>
      </c>
      <c r="M50" s="1" t="s">
        <v>37</v>
      </c>
      <c r="N50" s="1" t="s">
        <v>17</v>
      </c>
      <c r="O50">
        <f t="shared" si="0"/>
        <v>13</v>
      </c>
      <c r="P50" s="20">
        <f>(Table5[[#This Row],[Likes]]+Table5[[#This Row],[Shares]]+Table5[[#This Row],[Comments]])/Table5[[#This Row],[Impressions]]</f>
        <v>6.76784936509532E-2</v>
      </c>
      <c r="Q50" s="27">
        <f>Table5[[#This Row],[Likes]]+Table5[[#This Row],[Shares]]+Table5[[#This Row],[Comments]]</f>
        <v>2020</v>
      </c>
    </row>
    <row r="51" spans="1:17" x14ac:dyDescent="0.3">
      <c r="A51" s="1" t="s">
        <v>101</v>
      </c>
      <c r="B51" s="1" t="s">
        <v>29</v>
      </c>
      <c r="C51" s="2">
        <v>45384</v>
      </c>
      <c r="D51" s="1" t="s">
        <v>51</v>
      </c>
      <c r="E51" s="1" t="s">
        <v>45</v>
      </c>
      <c r="F51" s="3">
        <v>4563</v>
      </c>
      <c r="G51" s="3">
        <v>488</v>
      </c>
      <c r="H51" s="3">
        <v>356</v>
      </c>
      <c r="I51" s="3">
        <v>30619</v>
      </c>
      <c r="J51" s="3">
        <v>23328</v>
      </c>
      <c r="K51" s="3">
        <v>267</v>
      </c>
      <c r="L51" s="1" t="s">
        <v>20</v>
      </c>
      <c r="M51" s="1" t="s">
        <v>39</v>
      </c>
      <c r="N51" s="1" t="s">
        <v>52</v>
      </c>
      <c r="O51">
        <f t="shared" si="0"/>
        <v>14</v>
      </c>
      <c r="P51" s="20">
        <f>(Table5[[#This Row],[Likes]]+Table5[[#This Row],[Shares]]+Table5[[#This Row],[Comments]])/Table5[[#This Row],[Impressions]]</f>
        <v>0.17658969920637513</v>
      </c>
      <c r="Q51" s="27">
        <f>Table5[[#This Row],[Likes]]+Table5[[#This Row],[Shares]]+Table5[[#This Row],[Comments]]</f>
        <v>5407</v>
      </c>
    </row>
    <row r="52" spans="1:17" x14ac:dyDescent="0.3">
      <c r="A52" s="1" t="s">
        <v>202</v>
      </c>
      <c r="B52" s="1" t="s">
        <v>14</v>
      </c>
      <c r="C52" s="2">
        <v>45385</v>
      </c>
      <c r="D52" s="1" t="s">
        <v>15</v>
      </c>
      <c r="E52" s="1" t="s">
        <v>77</v>
      </c>
      <c r="F52" s="3">
        <v>2762</v>
      </c>
      <c r="G52" s="3">
        <v>339</v>
      </c>
      <c r="H52" s="3">
        <v>323</v>
      </c>
      <c r="I52" s="3">
        <v>33757</v>
      </c>
      <c r="J52" s="3">
        <v>68511</v>
      </c>
      <c r="K52" s="3">
        <v>121</v>
      </c>
      <c r="L52" s="1" t="s">
        <v>39</v>
      </c>
      <c r="M52" s="1" t="s">
        <v>37</v>
      </c>
      <c r="N52" s="1" t="s">
        <v>17</v>
      </c>
      <c r="O52">
        <f t="shared" si="0"/>
        <v>14</v>
      </c>
      <c r="P52" s="20">
        <f>(Table5[[#This Row],[Likes]]+Table5[[#This Row],[Shares]]+Table5[[#This Row],[Comments]])/Table5[[#This Row],[Impressions]]</f>
        <v>0.10143081434961637</v>
      </c>
      <c r="Q52" s="27">
        <f>Table5[[#This Row],[Likes]]+Table5[[#This Row],[Shares]]+Table5[[#This Row],[Comments]]</f>
        <v>3424</v>
      </c>
    </row>
    <row r="53" spans="1:17" x14ac:dyDescent="0.3">
      <c r="A53" s="1" t="s">
        <v>289</v>
      </c>
      <c r="B53" s="1" t="s">
        <v>23</v>
      </c>
      <c r="C53" s="2">
        <v>45385</v>
      </c>
      <c r="D53" s="1" t="s">
        <v>24</v>
      </c>
      <c r="E53" s="1" t="s">
        <v>77</v>
      </c>
      <c r="F53" s="3">
        <v>2291</v>
      </c>
      <c r="G53" s="3">
        <v>146</v>
      </c>
      <c r="H53" s="3">
        <v>399</v>
      </c>
      <c r="I53" s="3">
        <v>49319</v>
      </c>
      <c r="J53" s="3">
        <v>28056</v>
      </c>
      <c r="K53" s="3">
        <v>90</v>
      </c>
      <c r="L53" s="1" t="s">
        <v>20</v>
      </c>
      <c r="M53" s="1" t="s">
        <v>358</v>
      </c>
      <c r="N53" s="1" t="s">
        <v>17</v>
      </c>
      <c r="O53">
        <f t="shared" si="0"/>
        <v>14</v>
      </c>
      <c r="P53" s="20">
        <f>(Table5[[#This Row],[Likes]]+Table5[[#This Row],[Shares]]+Table5[[#This Row],[Comments]])/Table5[[#This Row],[Impressions]]</f>
        <v>5.7503193495407452E-2</v>
      </c>
      <c r="Q53" s="27">
        <f>Table5[[#This Row],[Likes]]+Table5[[#This Row],[Shares]]+Table5[[#This Row],[Comments]]</f>
        <v>2836</v>
      </c>
    </row>
    <row r="54" spans="1:17" x14ac:dyDescent="0.3">
      <c r="A54" s="1" t="s">
        <v>171</v>
      </c>
      <c r="B54" s="1" t="s">
        <v>23</v>
      </c>
      <c r="C54" s="2">
        <v>45387</v>
      </c>
      <c r="D54" s="1" t="s">
        <v>24</v>
      </c>
      <c r="E54" s="1" t="s">
        <v>25</v>
      </c>
      <c r="F54" s="3">
        <v>4965</v>
      </c>
      <c r="G54" s="3">
        <v>175</v>
      </c>
      <c r="H54" s="3">
        <v>307</v>
      </c>
      <c r="I54" s="3">
        <v>32793</v>
      </c>
      <c r="J54" s="3">
        <v>43412</v>
      </c>
      <c r="K54" s="3">
        <v>296</v>
      </c>
      <c r="L54" s="1" t="s">
        <v>39</v>
      </c>
      <c r="M54" s="1" t="s">
        <v>37</v>
      </c>
      <c r="N54" s="1" t="s">
        <v>17</v>
      </c>
      <c r="O54">
        <f t="shared" si="0"/>
        <v>14</v>
      </c>
      <c r="P54" s="20">
        <f>(Table5[[#This Row],[Likes]]+Table5[[#This Row],[Shares]]+Table5[[#This Row],[Comments]])/Table5[[#This Row],[Impressions]]</f>
        <v>0.16610252187966945</v>
      </c>
      <c r="Q54" s="27">
        <f>Table5[[#This Row],[Likes]]+Table5[[#This Row],[Shares]]+Table5[[#This Row],[Comments]]</f>
        <v>5447</v>
      </c>
    </row>
    <row r="55" spans="1:17" x14ac:dyDescent="0.3">
      <c r="A55" s="1" t="s">
        <v>200</v>
      </c>
      <c r="B55" s="1" t="s">
        <v>14</v>
      </c>
      <c r="C55" s="2">
        <v>45387</v>
      </c>
      <c r="D55" s="1" t="s">
        <v>15</v>
      </c>
      <c r="E55" s="1" t="s">
        <v>25</v>
      </c>
      <c r="F55" s="3">
        <v>4383</v>
      </c>
      <c r="G55" s="3">
        <v>352</v>
      </c>
      <c r="H55" s="3">
        <v>176</v>
      </c>
      <c r="I55" s="3">
        <v>53239</v>
      </c>
      <c r="J55" s="3">
        <v>34168</v>
      </c>
      <c r="K55" s="3">
        <v>288</v>
      </c>
      <c r="L55" s="1" t="s">
        <v>20</v>
      </c>
      <c r="M55" s="1" t="s">
        <v>361</v>
      </c>
      <c r="N55" s="1" t="s">
        <v>21</v>
      </c>
      <c r="O55">
        <f t="shared" si="0"/>
        <v>14</v>
      </c>
      <c r="P55" s="20">
        <f>(Table5[[#This Row],[Likes]]+Table5[[#This Row],[Shares]]+Table5[[#This Row],[Comments]])/Table5[[#This Row],[Impressions]]</f>
        <v>9.2244407295403744E-2</v>
      </c>
      <c r="Q55" s="27">
        <f>Table5[[#This Row],[Likes]]+Table5[[#This Row],[Shares]]+Table5[[#This Row],[Comments]]</f>
        <v>4911</v>
      </c>
    </row>
    <row r="56" spans="1:17" x14ac:dyDescent="0.3">
      <c r="A56" s="1" t="s">
        <v>241</v>
      </c>
      <c r="B56" s="1" t="s">
        <v>23</v>
      </c>
      <c r="C56" s="2">
        <v>45387</v>
      </c>
      <c r="D56" s="1" t="s">
        <v>24</v>
      </c>
      <c r="E56" s="1" t="s">
        <v>27</v>
      </c>
      <c r="F56" s="3">
        <v>2857</v>
      </c>
      <c r="G56" s="3">
        <v>443</v>
      </c>
      <c r="H56" s="3">
        <v>359</v>
      </c>
      <c r="I56" s="3">
        <v>51519</v>
      </c>
      <c r="J56" s="3">
        <v>28256</v>
      </c>
      <c r="K56" s="3">
        <v>155</v>
      </c>
      <c r="L56" s="1" t="s">
        <v>39</v>
      </c>
      <c r="M56" s="1" t="s">
        <v>37</v>
      </c>
      <c r="N56" s="1" t="s">
        <v>17</v>
      </c>
      <c r="O56">
        <f t="shared" si="0"/>
        <v>14</v>
      </c>
      <c r="P56" s="20">
        <f>(Table5[[#This Row],[Likes]]+Table5[[#This Row],[Shares]]+Table5[[#This Row],[Comments]])/Table5[[#This Row],[Impressions]]</f>
        <v>7.1022341272152026E-2</v>
      </c>
      <c r="Q56" s="27">
        <f>Table5[[#This Row],[Likes]]+Table5[[#This Row],[Shares]]+Table5[[#This Row],[Comments]]</f>
        <v>3659</v>
      </c>
    </row>
    <row r="57" spans="1:17" x14ac:dyDescent="0.3">
      <c r="A57" s="1" t="s">
        <v>28</v>
      </c>
      <c r="B57" s="1" t="s">
        <v>29</v>
      </c>
      <c r="C57" s="2">
        <v>45388</v>
      </c>
      <c r="D57" s="1" t="s">
        <v>15</v>
      </c>
      <c r="E57" s="1" t="s">
        <v>30</v>
      </c>
      <c r="F57" s="3">
        <v>2748</v>
      </c>
      <c r="G57" s="3">
        <v>145</v>
      </c>
      <c r="H57" s="3">
        <v>315</v>
      </c>
      <c r="I57" s="3">
        <v>24401</v>
      </c>
      <c r="J57" s="3">
        <v>61182</v>
      </c>
      <c r="K57" s="3">
        <v>200</v>
      </c>
      <c r="L57" s="1" t="s">
        <v>20</v>
      </c>
      <c r="M57" s="1" t="s">
        <v>359</v>
      </c>
      <c r="N57" s="1" t="s">
        <v>21</v>
      </c>
      <c r="O57">
        <f t="shared" si="0"/>
        <v>14</v>
      </c>
      <c r="P57" s="20">
        <f>(Table5[[#This Row],[Likes]]+Table5[[#This Row],[Shares]]+Table5[[#This Row],[Comments]])/Table5[[#This Row],[Impressions]]</f>
        <v>0.1314700217204213</v>
      </c>
      <c r="Q57" s="27">
        <f>Table5[[#This Row],[Likes]]+Table5[[#This Row],[Shares]]+Table5[[#This Row],[Comments]]</f>
        <v>3208</v>
      </c>
    </row>
    <row r="58" spans="1:17" x14ac:dyDescent="0.3">
      <c r="A58" s="1" t="s">
        <v>193</v>
      </c>
      <c r="B58" s="1" t="s">
        <v>14</v>
      </c>
      <c r="C58" s="2">
        <v>45394</v>
      </c>
      <c r="D58" s="1" t="s">
        <v>24</v>
      </c>
      <c r="E58" s="1" t="s">
        <v>34</v>
      </c>
      <c r="F58" s="3">
        <v>1558</v>
      </c>
      <c r="G58" s="3">
        <v>352</v>
      </c>
      <c r="H58" s="3">
        <v>202</v>
      </c>
      <c r="I58" s="3">
        <v>25405</v>
      </c>
      <c r="J58" s="3">
        <v>69941</v>
      </c>
      <c r="K58" s="3">
        <v>219</v>
      </c>
      <c r="L58" s="1" t="s">
        <v>37</v>
      </c>
      <c r="M58" s="1" t="s">
        <v>361</v>
      </c>
      <c r="N58" s="1" t="s">
        <v>49</v>
      </c>
      <c r="O58">
        <f t="shared" si="0"/>
        <v>15</v>
      </c>
      <c r="P58" s="20">
        <f>(Table5[[#This Row],[Likes]]+Table5[[#This Row],[Shares]]+Table5[[#This Row],[Comments]])/Table5[[#This Row],[Impressions]]</f>
        <v>8.3133241487896081E-2</v>
      </c>
      <c r="Q58" s="27">
        <f>Table5[[#This Row],[Likes]]+Table5[[#This Row],[Shares]]+Table5[[#This Row],[Comments]]</f>
        <v>2112</v>
      </c>
    </row>
    <row r="59" spans="1:17" x14ac:dyDescent="0.3">
      <c r="A59" s="1" t="s">
        <v>245</v>
      </c>
      <c r="B59" s="1" t="s">
        <v>23</v>
      </c>
      <c r="C59" s="2">
        <v>45396</v>
      </c>
      <c r="D59" s="1" t="s">
        <v>24</v>
      </c>
      <c r="E59" s="1" t="s">
        <v>16</v>
      </c>
      <c r="F59" s="3">
        <v>1295</v>
      </c>
      <c r="G59" s="3">
        <v>153</v>
      </c>
      <c r="H59" s="3">
        <v>81</v>
      </c>
      <c r="I59" s="3">
        <v>48350</v>
      </c>
      <c r="J59" s="3">
        <v>61033</v>
      </c>
      <c r="K59" s="3">
        <v>232</v>
      </c>
      <c r="L59" s="1" t="s">
        <v>20</v>
      </c>
      <c r="M59" s="1" t="s">
        <v>358</v>
      </c>
      <c r="N59" s="1" t="s">
        <v>17</v>
      </c>
      <c r="O59">
        <f t="shared" si="0"/>
        <v>16</v>
      </c>
      <c r="P59" s="20">
        <f>(Table5[[#This Row],[Likes]]+Table5[[#This Row],[Shares]]+Table5[[#This Row],[Comments]])/Table5[[#This Row],[Impressions]]</f>
        <v>3.1623578076525334E-2</v>
      </c>
      <c r="Q59" s="27">
        <f>Table5[[#This Row],[Likes]]+Table5[[#This Row],[Shares]]+Table5[[#This Row],[Comments]]</f>
        <v>1529</v>
      </c>
    </row>
    <row r="60" spans="1:17" x14ac:dyDescent="0.3">
      <c r="A60" s="1" t="s">
        <v>94</v>
      </c>
      <c r="B60" s="1" t="s">
        <v>29</v>
      </c>
      <c r="C60" s="2">
        <v>45398</v>
      </c>
      <c r="D60" s="1" t="s">
        <v>15</v>
      </c>
      <c r="E60" s="1" t="s">
        <v>16</v>
      </c>
      <c r="F60" s="3">
        <v>4674</v>
      </c>
      <c r="G60" s="3">
        <v>326</v>
      </c>
      <c r="H60" s="3">
        <v>62</v>
      </c>
      <c r="I60" s="3">
        <v>45503</v>
      </c>
      <c r="J60" s="3">
        <v>46814</v>
      </c>
      <c r="K60" s="3">
        <v>116</v>
      </c>
      <c r="L60" s="1" t="s">
        <v>20</v>
      </c>
      <c r="M60" s="1" t="s">
        <v>359</v>
      </c>
      <c r="N60" s="1" t="s">
        <v>21</v>
      </c>
      <c r="O60">
        <f t="shared" si="0"/>
        <v>16</v>
      </c>
      <c r="P60" s="20">
        <f>(Table5[[#This Row],[Likes]]+Table5[[#This Row],[Shares]]+Table5[[#This Row],[Comments]])/Table5[[#This Row],[Impressions]]</f>
        <v>0.11124541239039185</v>
      </c>
      <c r="Q60" s="27">
        <f>Table5[[#This Row],[Likes]]+Table5[[#This Row],[Shares]]+Table5[[#This Row],[Comments]]</f>
        <v>5062</v>
      </c>
    </row>
    <row r="61" spans="1:17" x14ac:dyDescent="0.3">
      <c r="A61" s="1" t="s">
        <v>206</v>
      </c>
      <c r="B61" s="1" t="s">
        <v>29</v>
      </c>
      <c r="C61" s="2">
        <v>45400</v>
      </c>
      <c r="D61" s="1" t="s">
        <v>15</v>
      </c>
      <c r="E61" s="1" t="s">
        <v>19</v>
      </c>
      <c r="F61" s="3">
        <v>4023</v>
      </c>
      <c r="G61" s="3">
        <v>293</v>
      </c>
      <c r="H61" s="3">
        <v>91</v>
      </c>
      <c r="I61" s="3">
        <v>26795</v>
      </c>
      <c r="J61" s="3">
        <v>28924</v>
      </c>
      <c r="K61" s="3">
        <v>278</v>
      </c>
      <c r="L61" s="1" t="s">
        <v>20</v>
      </c>
      <c r="M61" s="1" t="s">
        <v>359</v>
      </c>
      <c r="N61" s="1" t="s">
        <v>21</v>
      </c>
      <c r="O61">
        <f t="shared" si="0"/>
        <v>16</v>
      </c>
      <c r="P61" s="20">
        <f>(Table5[[#This Row],[Likes]]+Table5[[#This Row],[Shares]]+Table5[[#This Row],[Comments]])/Table5[[#This Row],[Impressions]]</f>
        <v>0.16447098339242397</v>
      </c>
      <c r="Q61" s="27">
        <f>Table5[[#This Row],[Likes]]+Table5[[#This Row],[Shares]]+Table5[[#This Row],[Comments]]</f>
        <v>4407</v>
      </c>
    </row>
    <row r="62" spans="1:17" x14ac:dyDescent="0.3">
      <c r="A62" s="1" t="s">
        <v>74</v>
      </c>
      <c r="B62" s="1" t="s">
        <v>14</v>
      </c>
      <c r="C62" s="2">
        <v>45401</v>
      </c>
      <c r="D62" s="1" t="s">
        <v>15</v>
      </c>
      <c r="E62" s="1" t="s">
        <v>25</v>
      </c>
      <c r="F62" s="3">
        <v>4001</v>
      </c>
      <c r="G62" s="3">
        <v>353</v>
      </c>
      <c r="H62" s="3">
        <v>129</v>
      </c>
      <c r="I62" s="3">
        <v>41265</v>
      </c>
      <c r="J62" s="3">
        <v>37279</v>
      </c>
      <c r="K62" s="3">
        <v>275</v>
      </c>
      <c r="L62" s="1" t="s">
        <v>39</v>
      </c>
      <c r="M62" s="1" t="s">
        <v>37</v>
      </c>
      <c r="N62" s="1" t="s">
        <v>17</v>
      </c>
      <c r="O62">
        <f t="shared" si="0"/>
        <v>16</v>
      </c>
      <c r="P62" s="20">
        <f>(Table5[[#This Row],[Likes]]+Table5[[#This Row],[Shares]]+Table5[[#This Row],[Comments]])/Table5[[#This Row],[Impressions]]</f>
        <v>0.10863928268508422</v>
      </c>
      <c r="Q62" s="27">
        <f>Table5[[#This Row],[Likes]]+Table5[[#This Row],[Shares]]+Table5[[#This Row],[Comments]]</f>
        <v>4483</v>
      </c>
    </row>
    <row r="63" spans="1:17" x14ac:dyDescent="0.3">
      <c r="A63" s="1" t="s">
        <v>121</v>
      </c>
      <c r="B63" s="1" t="s">
        <v>23</v>
      </c>
      <c r="C63" s="2">
        <v>45405</v>
      </c>
      <c r="D63" s="1" t="s">
        <v>24</v>
      </c>
      <c r="E63" s="1" t="s">
        <v>16</v>
      </c>
      <c r="F63" s="3">
        <v>2683</v>
      </c>
      <c r="G63" s="3">
        <v>496</v>
      </c>
      <c r="H63" s="3">
        <v>89</v>
      </c>
      <c r="I63" s="3">
        <v>53435</v>
      </c>
      <c r="J63" s="3">
        <v>30334</v>
      </c>
      <c r="K63" s="3">
        <v>160</v>
      </c>
      <c r="L63" s="1" t="s">
        <v>39</v>
      </c>
      <c r="M63" s="1" t="s">
        <v>37</v>
      </c>
      <c r="N63" s="1" t="s">
        <v>17</v>
      </c>
      <c r="O63">
        <f t="shared" si="0"/>
        <v>17</v>
      </c>
      <c r="P63" s="20">
        <f>(Table5[[#This Row],[Likes]]+Table5[[#This Row],[Shares]]+Table5[[#This Row],[Comments]])/Table5[[#This Row],[Impressions]]</f>
        <v>6.1158416768035934E-2</v>
      </c>
      <c r="Q63" s="27">
        <f>Table5[[#This Row],[Likes]]+Table5[[#This Row],[Shares]]+Table5[[#This Row],[Comments]]</f>
        <v>3268</v>
      </c>
    </row>
    <row r="64" spans="1:17" x14ac:dyDescent="0.3">
      <c r="A64" s="1" t="s">
        <v>189</v>
      </c>
      <c r="B64" s="1" t="s">
        <v>14</v>
      </c>
      <c r="C64" s="2">
        <v>45407</v>
      </c>
      <c r="D64" s="1" t="s">
        <v>15</v>
      </c>
      <c r="E64" s="1" t="s">
        <v>30</v>
      </c>
      <c r="F64" s="3">
        <v>3563</v>
      </c>
      <c r="G64" s="3">
        <v>483</v>
      </c>
      <c r="H64" s="3">
        <v>227</v>
      </c>
      <c r="I64" s="3">
        <v>41085</v>
      </c>
      <c r="J64" s="3">
        <v>26393</v>
      </c>
      <c r="K64" s="3">
        <v>236</v>
      </c>
      <c r="L64" s="1" t="s">
        <v>39</v>
      </c>
      <c r="M64" s="1" t="s">
        <v>37</v>
      </c>
      <c r="N64" s="1" t="s">
        <v>17</v>
      </c>
      <c r="O64">
        <f t="shared" si="0"/>
        <v>17</v>
      </c>
      <c r="P64" s="20">
        <f>(Table5[[#This Row],[Likes]]+Table5[[#This Row],[Shares]]+Table5[[#This Row],[Comments]])/Table5[[#This Row],[Impressions]]</f>
        <v>0.10400389436534015</v>
      </c>
      <c r="Q64" s="27">
        <f>Table5[[#This Row],[Likes]]+Table5[[#This Row],[Shares]]+Table5[[#This Row],[Comments]]</f>
        <v>4273</v>
      </c>
    </row>
    <row r="65" spans="1:17" x14ac:dyDescent="0.3">
      <c r="A65" s="1" t="s">
        <v>138</v>
      </c>
      <c r="B65" s="1" t="s">
        <v>23</v>
      </c>
      <c r="C65" s="2">
        <v>45413</v>
      </c>
      <c r="D65" s="1" t="s">
        <v>24</v>
      </c>
      <c r="E65" s="1" t="s">
        <v>32</v>
      </c>
      <c r="F65" s="3">
        <v>2587</v>
      </c>
      <c r="G65" s="3">
        <v>447</v>
      </c>
      <c r="H65" s="3">
        <v>183</v>
      </c>
      <c r="I65" s="3">
        <v>36266</v>
      </c>
      <c r="J65" s="3">
        <v>32877</v>
      </c>
      <c r="K65" s="3">
        <v>132</v>
      </c>
      <c r="L65" s="1" t="s">
        <v>20</v>
      </c>
      <c r="M65" s="1" t="s">
        <v>358</v>
      </c>
      <c r="N65" s="1" t="s">
        <v>17</v>
      </c>
      <c r="O65">
        <f t="shared" si="0"/>
        <v>18</v>
      </c>
      <c r="P65" s="20">
        <f>(Table5[[#This Row],[Likes]]+Table5[[#This Row],[Shares]]+Table5[[#This Row],[Comments]])/Table5[[#This Row],[Impressions]]</f>
        <v>8.8705674736667947E-2</v>
      </c>
      <c r="Q65" s="27">
        <f>Table5[[#This Row],[Likes]]+Table5[[#This Row],[Shares]]+Table5[[#This Row],[Comments]]</f>
        <v>3217</v>
      </c>
    </row>
    <row r="66" spans="1:17" x14ac:dyDescent="0.3">
      <c r="A66" s="1" t="s">
        <v>320</v>
      </c>
      <c r="B66" s="1" t="s">
        <v>14</v>
      </c>
      <c r="C66" s="2">
        <v>45413</v>
      </c>
      <c r="D66" s="1" t="s">
        <v>15</v>
      </c>
      <c r="E66" s="1" t="s">
        <v>34</v>
      </c>
      <c r="F66" s="3">
        <v>3359</v>
      </c>
      <c r="G66" s="3">
        <v>137</v>
      </c>
      <c r="H66" s="3">
        <v>387</v>
      </c>
      <c r="I66" s="3">
        <v>33861</v>
      </c>
      <c r="J66" s="3">
        <v>47257</v>
      </c>
      <c r="K66" s="3">
        <v>198</v>
      </c>
      <c r="L66" s="1" t="s">
        <v>20</v>
      </c>
      <c r="M66" s="1" t="s">
        <v>361</v>
      </c>
      <c r="N66" s="1" t="s">
        <v>21</v>
      </c>
      <c r="O66">
        <f t="shared" ref="O66:O129" si="1">WEEKNUM(C66)</f>
        <v>18</v>
      </c>
      <c r="P66" s="20">
        <f>(Table5[[#This Row],[Likes]]+Table5[[#This Row],[Shares]]+Table5[[#This Row],[Comments]])/Table5[[#This Row],[Impressions]]</f>
        <v>0.11467469950680724</v>
      </c>
      <c r="Q66" s="27">
        <f>Table5[[#This Row],[Likes]]+Table5[[#This Row],[Shares]]+Table5[[#This Row],[Comments]]</f>
        <v>3883</v>
      </c>
    </row>
    <row r="67" spans="1:17" x14ac:dyDescent="0.3">
      <c r="A67" s="1" t="s">
        <v>69</v>
      </c>
      <c r="B67" s="1" t="s">
        <v>14</v>
      </c>
      <c r="C67" s="2">
        <v>45416</v>
      </c>
      <c r="D67" s="1" t="s">
        <v>15</v>
      </c>
      <c r="E67" s="1" t="s">
        <v>27</v>
      </c>
      <c r="F67" s="3">
        <v>2274</v>
      </c>
      <c r="G67" s="3">
        <v>243</v>
      </c>
      <c r="H67" s="3">
        <v>222</v>
      </c>
      <c r="I67" s="3">
        <v>43066</v>
      </c>
      <c r="J67" s="3">
        <v>59174</v>
      </c>
      <c r="K67" s="3">
        <v>80</v>
      </c>
      <c r="L67" s="1" t="s">
        <v>20</v>
      </c>
      <c r="M67" s="1" t="s">
        <v>361</v>
      </c>
      <c r="N67" s="1" t="s">
        <v>21</v>
      </c>
      <c r="O67">
        <f t="shared" si="1"/>
        <v>18</v>
      </c>
      <c r="P67" s="20">
        <f>(Table5[[#This Row],[Likes]]+Table5[[#This Row],[Shares]]+Table5[[#This Row],[Comments]])/Table5[[#This Row],[Impressions]]</f>
        <v>6.3600055728416843E-2</v>
      </c>
      <c r="Q67" s="27">
        <f>Table5[[#This Row],[Likes]]+Table5[[#This Row],[Shares]]+Table5[[#This Row],[Comments]]</f>
        <v>2739</v>
      </c>
    </row>
    <row r="68" spans="1:17" x14ac:dyDescent="0.3">
      <c r="A68" s="1" t="s">
        <v>44</v>
      </c>
      <c r="B68" s="1" t="s">
        <v>23</v>
      </c>
      <c r="C68" s="2">
        <v>45418</v>
      </c>
      <c r="D68" s="1" t="s">
        <v>15</v>
      </c>
      <c r="E68" s="1" t="s">
        <v>45</v>
      </c>
      <c r="F68" s="3">
        <v>3476</v>
      </c>
      <c r="G68" s="3">
        <v>355</v>
      </c>
      <c r="H68" s="3">
        <v>396</v>
      </c>
      <c r="I68" s="3">
        <v>37492</v>
      </c>
      <c r="J68" s="3">
        <v>27285</v>
      </c>
      <c r="K68" s="3">
        <v>179</v>
      </c>
      <c r="L68" s="1" t="s">
        <v>37</v>
      </c>
      <c r="M68" s="1" t="s">
        <v>361</v>
      </c>
      <c r="N68" s="1" t="s">
        <v>17</v>
      </c>
      <c r="O68">
        <f t="shared" si="1"/>
        <v>19</v>
      </c>
      <c r="P68" s="20">
        <f>(Table5[[#This Row],[Likes]]+Table5[[#This Row],[Shares]]+Table5[[#This Row],[Comments]])/Table5[[#This Row],[Impressions]]</f>
        <v>0.11274405206444041</v>
      </c>
      <c r="Q68" s="27">
        <f>Table5[[#This Row],[Likes]]+Table5[[#This Row],[Shares]]+Table5[[#This Row],[Comments]]</f>
        <v>4227</v>
      </c>
    </row>
    <row r="69" spans="1:17" x14ac:dyDescent="0.3">
      <c r="A69" s="1" t="s">
        <v>65</v>
      </c>
      <c r="B69" s="1" t="s">
        <v>23</v>
      </c>
      <c r="C69" s="2">
        <v>45419</v>
      </c>
      <c r="D69" s="1" t="s">
        <v>24</v>
      </c>
      <c r="E69" s="1" t="s">
        <v>19</v>
      </c>
      <c r="F69" s="3">
        <v>2776</v>
      </c>
      <c r="G69" s="3">
        <v>307</v>
      </c>
      <c r="H69" s="3">
        <v>178</v>
      </c>
      <c r="I69" s="3">
        <v>43365</v>
      </c>
      <c r="J69" s="3">
        <v>48408</v>
      </c>
      <c r="K69" s="3">
        <v>138</v>
      </c>
      <c r="L69" s="1" t="s">
        <v>39</v>
      </c>
      <c r="M69" s="1" t="s">
        <v>37</v>
      </c>
      <c r="N69" s="1" t="s">
        <v>17</v>
      </c>
      <c r="O69">
        <f t="shared" si="1"/>
        <v>19</v>
      </c>
      <c r="P69" s="20">
        <f>(Table5[[#This Row],[Likes]]+Table5[[#This Row],[Shares]]+Table5[[#This Row],[Comments]])/Table5[[#This Row],[Impressions]]</f>
        <v>7.519889311656866E-2</v>
      </c>
      <c r="Q69" s="27">
        <f>Table5[[#This Row],[Likes]]+Table5[[#This Row],[Shares]]+Table5[[#This Row],[Comments]]</f>
        <v>3261</v>
      </c>
    </row>
    <row r="70" spans="1:17" x14ac:dyDescent="0.3">
      <c r="A70" s="1" t="s">
        <v>89</v>
      </c>
      <c r="B70" s="1" t="s">
        <v>23</v>
      </c>
      <c r="C70" s="2">
        <v>45420</v>
      </c>
      <c r="D70" s="1" t="s">
        <v>15</v>
      </c>
      <c r="E70" s="1" t="s">
        <v>19</v>
      </c>
      <c r="F70" s="3">
        <v>1828</v>
      </c>
      <c r="G70" s="3">
        <v>450</v>
      </c>
      <c r="H70" s="3">
        <v>214</v>
      </c>
      <c r="I70" s="3">
        <v>52115</v>
      </c>
      <c r="J70" s="3">
        <v>19166</v>
      </c>
      <c r="K70" s="3">
        <v>190</v>
      </c>
      <c r="L70" s="1" t="s">
        <v>37</v>
      </c>
      <c r="M70" s="1" t="s">
        <v>361</v>
      </c>
      <c r="N70" s="1" t="s">
        <v>17</v>
      </c>
      <c r="O70">
        <f t="shared" si="1"/>
        <v>19</v>
      </c>
      <c r="P70" s="20">
        <f>(Table5[[#This Row],[Likes]]+Table5[[#This Row],[Shares]]+Table5[[#This Row],[Comments]])/Table5[[#This Row],[Impressions]]</f>
        <v>4.781732706514439E-2</v>
      </c>
      <c r="Q70" s="27">
        <f>Table5[[#This Row],[Likes]]+Table5[[#This Row],[Shares]]+Table5[[#This Row],[Comments]]</f>
        <v>2492</v>
      </c>
    </row>
    <row r="71" spans="1:17" x14ac:dyDescent="0.3">
      <c r="A71" s="1" t="s">
        <v>199</v>
      </c>
      <c r="B71" s="1" t="s">
        <v>14</v>
      </c>
      <c r="C71" s="2">
        <v>45420</v>
      </c>
      <c r="D71" s="1" t="s">
        <v>24</v>
      </c>
      <c r="E71" s="1" t="s">
        <v>30</v>
      </c>
      <c r="F71" s="3">
        <v>2414</v>
      </c>
      <c r="G71" s="3">
        <v>220</v>
      </c>
      <c r="H71" s="3">
        <v>280</v>
      </c>
      <c r="I71" s="3">
        <v>27355</v>
      </c>
      <c r="J71" s="3">
        <v>50562</v>
      </c>
      <c r="K71" s="3">
        <v>258</v>
      </c>
      <c r="L71" s="1" t="s">
        <v>37</v>
      </c>
      <c r="M71" s="1" t="s">
        <v>361</v>
      </c>
      <c r="N71" s="1" t="s">
        <v>49</v>
      </c>
      <c r="O71">
        <f t="shared" si="1"/>
        <v>19</v>
      </c>
      <c r="P71" s="20">
        <f>(Table5[[#This Row],[Likes]]+Table5[[#This Row],[Shares]]+Table5[[#This Row],[Comments]])/Table5[[#This Row],[Impressions]]</f>
        <v>0.10652531529884847</v>
      </c>
      <c r="Q71" s="27">
        <f>Table5[[#This Row],[Likes]]+Table5[[#This Row],[Shares]]+Table5[[#This Row],[Comments]]</f>
        <v>2914</v>
      </c>
    </row>
    <row r="72" spans="1:17" x14ac:dyDescent="0.3">
      <c r="A72" s="1" t="s">
        <v>35</v>
      </c>
      <c r="B72" s="1" t="s">
        <v>23</v>
      </c>
      <c r="C72" s="2">
        <v>45421</v>
      </c>
      <c r="D72" s="1" t="s">
        <v>24</v>
      </c>
      <c r="E72" s="1" t="s">
        <v>27</v>
      </c>
      <c r="F72" s="3">
        <v>1428</v>
      </c>
      <c r="G72" s="3">
        <v>347</v>
      </c>
      <c r="H72" s="3">
        <v>67</v>
      </c>
      <c r="I72" s="3">
        <v>21148</v>
      </c>
      <c r="J72" s="3">
        <v>19712</v>
      </c>
      <c r="K72" s="3">
        <v>120</v>
      </c>
      <c r="L72" s="1" t="s">
        <v>20</v>
      </c>
      <c r="M72" s="1" t="s">
        <v>358</v>
      </c>
      <c r="N72" s="1" t="s">
        <v>17</v>
      </c>
      <c r="O72">
        <f t="shared" si="1"/>
        <v>19</v>
      </c>
      <c r="P72" s="20">
        <f>(Table5[[#This Row],[Likes]]+Table5[[#This Row],[Shares]]+Table5[[#This Row],[Comments]])/Table5[[#This Row],[Impressions]]</f>
        <v>8.7100435029317191E-2</v>
      </c>
      <c r="Q72" s="27">
        <f>Table5[[#This Row],[Likes]]+Table5[[#This Row],[Shares]]+Table5[[#This Row],[Comments]]</f>
        <v>1842</v>
      </c>
    </row>
    <row r="73" spans="1:17" x14ac:dyDescent="0.3">
      <c r="A73" s="1" t="s">
        <v>158</v>
      </c>
      <c r="B73" s="1" t="s">
        <v>23</v>
      </c>
      <c r="C73" s="2">
        <v>45421</v>
      </c>
      <c r="D73" s="1" t="s">
        <v>24</v>
      </c>
      <c r="E73" s="1" t="s">
        <v>25</v>
      </c>
      <c r="F73" s="3">
        <v>3277</v>
      </c>
      <c r="G73" s="3">
        <v>423</v>
      </c>
      <c r="H73" s="3">
        <v>259</v>
      </c>
      <c r="I73" s="3">
        <v>46328</v>
      </c>
      <c r="J73" s="3">
        <v>44293</v>
      </c>
      <c r="K73" s="3">
        <v>299</v>
      </c>
      <c r="L73" s="1" t="s">
        <v>39</v>
      </c>
      <c r="M73" s="1" t="s">
        <v>37</v>
      </c>
      <c r="N73" s="1" t="s">
        <v>17</v>
      </c>
      <c r="O73">
        <f t="shared" si="1"/>
        <v>19</v>
      </c>
      <c r="P73" s="20">
        <f>(Table5[[#This Row],[Likes]]+Table5[[#This Row],[Shares]]+Table5[[#This Row],[Comments]])/Table5[[#This Row],[Impressions]]</f>
        <v>8.5455879813503707E-2</v>
      </c>
      <c r="Q73" s="27">
        <f>Table5[[#This Row],[Likes]]+Table5[[#This Row],[Shares]]+Table5[[#This Row],[Comments]]</f>
        <v>3959</v>
      </c>
    </row>
    <row r="74" spans="1:17" x14ac:dyDescent="0.3">
      <c r="A74" s="1" t="s">
        <v>228</v>
      </c>
      <c r="B74" s="1" t="s">
        <v>23</v>
      </c>
      <c r="C74" s="2">
        <v>45422</v>
      </c>
      <c r="D74" s="1" t="s">
        <v>24</v>
      </c>
      <c r="E74" s="1" t="s">
        <v>19</v>
      </c>
      <c r="F74" s="3">
        <v>2784</v>
      </c>
      <c r="G74" s="3">
        <v>111</v>
      </c>
      <c r="H74" s="3">
        <v>399</v>
      </c>
      <c r="I74" s="3">
        <v>58366</v>
      </c>
      <c r="J74" s="3">
        <v>69512</v>
      </c>
      <c r="K74" s="3">
        <v>269</v>
      </c>
      <c r="L74" s="1" t="s">
        <v>358</v>
      </c>
      <c r="M74" s="1" t="s">
        <v>37</v>
      </c>
      <c r="N74" s="1" t="s">
        <v>17</v>
      </c>
      <c r="O74">
        <f t="shared" si="1"/>
        <v>19</v>
      </c>
      <c r="P74" s="20">
        <f>(Table5[[#This Row],[Likes]]+Table5[[#This Row],[Shares]]+Table5[[#This Row],[Comments]])/Table5[[#This Row],[Impressions]]</f>
        <v>5.6436966727204191E-2</v>
      </c>
      <c r="Q74" s="27">
        <f>Table5[[#This Row],[Likes]]+Table5[[#This Row],[Shares]]+Table5[[#This Row],[Comments]]</f>
        <v>3294</v>
      </c>
    </row>
    <row r="75" spans="1:17" x14ac:dyDescent="0.3">
      <c r="A75" s="1" t="s">
        <v>157</v>
      </c>
      <c r="B75" s="1" t="s">
        <v>29</v>
      </c>
      <c r="C75" s="2">
        <v>45424</v>
      </c>
      <c r="D75" s="1" t="s">
        <v>15</v>
      </c>
      <c r="E75" s="1" t="s">
        <v>43</v>
      </c>
      <c r="F75" s="3">
        <v>2911</v>
      </c>
      <c r="G75" s="3">
        <v>467</v>
      </c>
      <c r="H75" s="3">
        <v>94</v>
      </c>
      <c r="I75" s="3">
        <v>59083</v>
      </c>
      <c r="J75" s="3">
        <v>49762</v>
      </c>
      <c r="K75" s="3">
        <v>236</v>
      </c>
      <c r="L75" s="1" t="s">
        <v>20</v>
      </c>
      <c r="M75" s="1" t="s">
        <v>359</v>
      </c>
      <c r="N75" s="1" t="s">
        <v>21</v>
      </c>
      <c r="O75">
        <f t="shared" si="1"/>
        <v>20</v>
      </c>
      <c r="P75" s="20">
        <f>(Table5[[#This Row],[Likes]]+Table5[[#This Row],[Shares]]+Table5[[#This Row],[Comments]])/Table5[[#This Row],[Impressions]]</f>
        <v>5.8764788517847777E-2</v>
      </c>
      <c r="Q75" s="27">
        <f>Table5[[#This Row],[Likes]]+Table5[[#This Row],[Shares]]+Table5[[#This Row],[Comments]]</f>
        <v>3472</v>
      </c>
    </row>
    <row r="76" spans="1:17" x14ac:dyDescent="0.3">
      <c r="A76" s="1" t="s">
        <v>85</v>
      </c>
      <c r="B76" s="1" t="s">
        <v>29</v>
      </c>
      <c r="C76" s="2">
        <v>45425</v>
      </c>
      <c r="D76" s="1" t="s">
        <v>51</v>
      </c>
      <c r="E76" s="1" t="s">
        <v>19</v>
      </c>
      <c r="F76" s="3">
        <v>4161</v>
      </c>
      <c r="G76" s="3">
        <v>481</v>
      </c>
      <c r="H76" s="3">
        <v>61</v>
      </c>
      <c r="I76" s="3">
        <v>45884</v>
      </c>
      <c r="J76" s="3">
        <v>48955</v>
      </c>
      <c r="K76" s="3">
        <v>215</v>
      </c>
      <c r="L76" s="1" t="s">
        <v>20</v>
      </c>
      <c r="M76" s="1" t="s">
        <v>39</v>
      </c>
      <c r="N76" s="1" t="s">
        <v>52</v>
      </c>
      <c r="O76">
        <f t="shared" si="1"/>
        <v>20</v>
      </c>
      <c r="P76" s="20">
        <f>(Table5[[#This Row],[Likes]]+Table5[[#This Row],[Shares]]+Table5[[#This Row],[Comments]])/Table5[[#This Row],[Impressions]]</f>
        <v>0.10249760265016128</v>
      </c>
      <c r="Q76" s="27">
        <f>Table5[[#This Row],[Likes]]+Table5[[#This Row],[Shares]]+Table5[[#This Row],[Comments]]</f>
        <v>4703</v>
      </c>
    </row>
    <row r="77" spans="1:17" x14ac:dyDescent="0.3">
      <c r="A77" s="1" t="s">
        <v>40</v>
      </c>
      <c r="B77" s="1" t="s">
        <v>14</v>
      </c>
      <c r="C77" s="2">
        <v>45426</v>
      </c>
      <c r="D77" s="1" t="s">
        <v>15</v>
      </c>
      <c r="E77" s="1" t="s">
        <v>16</v>
      </c>
      <c r="F77" s="3">
        <v>1485</v>
      </c>
      <c r="G77" s="3">
        <v>353</v>
      </c>
      <c r="H77" s="3">
        <v>244</v>
      </c>
      <c r="I77" s="3">
        <v>38419</v>
      </c>
      <c r="J77" s="3">
        <v>38556</v>
      </c>
      <c r="K77" s="3">
        <v>86</v>
      </c>
      <c r="L77" s="1" t="s">
        <v>39</v>
      </c>
      <c r="M77" s="1" t="s">
        <v>37</v>
      </c>
      <c r="N77" s="1" t="s">
        <v>17</v>
      </c>
      <c r="O77">
        <f t="shared" si="1"/>
        <v>20</v>
      </c>
      <c r="P77" s="20">
        <f>(Table5[[#This Row],[Likes]]+Table5[[#This Row],[Shares]]+Table5[[#This Row],[Comments]])/Table5[[#This Row],[Impressions]]</f>
        <v>5.4191936281527367E-2</v>
      </c>
      <c r="Q77" s="27">
        <f>Table5[[#This Row],[Likes]]+Table5[[#This Row],[Shares]]+Table5[[#This Row],[Comments]]</f>
        <v>2082</v>
      </c>
    </row>
    <row r="78" spans="1:17" x14ac:dyDescent="0.3">
      <c r="A78" s="1" t="s">
        <v>152</v>
      </c>
      <c r="B78" s="1" t="s">
        <v>23</v>
      </c>
      <c r="C78" s="2">
        <v>45428</v>
      </c>
      <c r="D78" s="1" t="s">
        <v>24</v>
      </c>
      <c r="E78" s="1" t="s">
        <v>30</v>
      </c>
      <c r="F78" s="3">
        <v>2023</v>
      </c>
      <c r="G78" s="3">
        <v>124</v>
      </c>
      <c r="H78" s="3">
        <v>99</v>
      </c>
      <c r="I78" s="3">
        <v>54524</v>
      </c>
      <c r="J78" s="3">
        <v>34790</v>
      </c>
      <c r="K78" s="3">
        <v>195</v>
      </c>
      <c r="L78" s="1" t="s">
        <v>20</v>
      </c>
      <c r="M78" s="1" t="s">
        <v>358</v>
      </c>
      <c r="N78" s="1" t="s">
        <v>17</v>
      </c>
      <c r="O78">
        <f t="shared" si="1"/>
        <v>20</v>
      </c>
      <c r="P78" s="20">
        <f>(Table5[[#This Row],[Likes]]+Table5[[#This Row],[Shares]]+Table5[[#This Row],[Comments]])/Table5[[#This Row],[Impressions]]</f>
        <v>4.1192869195216787E-2</v>
      </c>
      <c r="Q78" s="27">
        <f>Table5[[#This Row],[Likes]]+Table5[[#This Row],[Shares]]+Table5[[#This Row],[Comments]]</f>
        <v>2246</v>
      </c>
    </row>
    <row r="79" spans="1:17" x14ac:dyDescent="0.3">
      <c r="A79" s="1" t="s">
        <v>108</v>
      </c>
      <c r="B79" s="1" t="s">
        <v>23</v>
      </c>
      <c r="C79" s="2">
        <v>45431</v>
      </c>
      <c r="D79" s="1" t="s">
        <v>24</v>
      </c>
      <c r="E79" s="1" t="s">
        <v>34</v>
      </c>
      <c r="F79" s="3">
        <v>1763</v>
      </c>
      <c r="G79" s="3">
        <v>206</v>
      </c>
      <c r="H79" s="3">
        <v>187</v>
      </c>
      <c r="I79" s="3">
        <v>53342</v>
      </c>
      <c r="J79" s="3">
        <v>25095</v>
      </c>
      <c r="K79" s="3">
        <v>88</v>
      </c>
      <c r="L79" s="1" t="s">
        <v>20</v>
      </c>
      <c r="M79" s="1" t="s">
        <v>358</v>
      </c>
      <c r="N79" s="1" t="s">
        <v>17</v>
      </c>
      <c r="O79">
        <f t="shared" si="1"/>
        <v>21</v>
      </c>
      <c r="P79" s="20">
        <f>(Table5[[#This Row],[Likes]]+Table5[[#This Row],[Shares]]+Table5[[#This Row],[Comments]])/Table5[[#This Row],[Impressions]]</f>
        <v>4.0418432004799221E-2</v>
      </c>
      <c r="Q79" s="27">
        <f>Table5[[#This Row],[Likes]]+Table5[[#This Row],[Shares]]+Table5[[#This Row],[Comments]]</f>
        <v>2156</v>
      </c>
    </row>
    <row r="80" spans="1:17" x14ac:dyDescent="0.3">
      <c r="A80" s="1" t="s">
        <v>99</v>
      </c>
      <c r="B80" s="1" t="s">
        <v>29</v>
      </c>
      <c r="C80" s="2">
        <v>45438</v>
      </c>
      <c r="D80" s="1" t="s">
        <v>15</v>
      </c>
      <c r="E80" s="1" t="s">
        <v>43</v>
      </c>
      <c r="F80" s="3">
        <v>1488</v>
      </c>
      <c r="G80" s="3">
        <v>327</v>
      </c>
      <c r="H80" s="3">
        <v>110</v>
      </c>
      <c r="I80" s="3">
        <v>53805</v>
      </c>
      <c r="J80" s="3">
        <v>30239</v>
      </c>
      <c r="K80" s="3">
        <v>109</v>
      </c>
      <c r="L80" s="1" t="s">
        <v>20</v>
      </c>
      <c r="M80" s="1" t="s">
        <v>359</v>
      </c>
      <c r="N80" s="1" t="s">
        <v>21</v>
      </c>
      <c r="O80">
        <f t="shared" si="1"/>
        <v>22</v>
      </c>
      <c r="P80" s="20">
        <f>(Table5[[#This Row],[Likes]]+Table5[[#This Row],[Shares]]+Table5[[#This Row],[Comments]])/Table5[[#This Row],[Impressions]]</f>
        <v>3.5777344113000653E-2</v>
      </c>
      <c r="Q80" s="27">
        <f>Table5[[#This Row],[Likes]]+Table5[[#This Row],[Shares]]+Table5[[#This Row],[Comments]]</f>
        <v>1925</v>
      </c>
    </row>
    <row r="81" spans="1:17" x14ac:dyDescent="0.3">
      <c r="A81" s="1" t="s">
        <v>184</v>
      </c>
      <c r="B81" s="1" t="s">
        <v>23</v>
      </c>
      <c r="C81" s="2">
        <v>45442</v>
      </c>
      <c r="D81" s="1" t="s">
        <v>24</v>
      </c>
      <c r="E81" s="1" t="s">
        <v>45</v>
      </c>
      <c r="F81" s="3">
        <v>2311</v>
      </c>
      <c r="G81" s="3">
        <v>207</v>
      </c>
      <c r="H81" s="3">
        <v>363</v>
      </c>
      <c r="I81" s="3">
        <v>30349</v>
      </c>
      <c r="J81" s="3">
        <v>32925</v>
      </c>
      <c r="K81" s="3">
        <v>88</v>
      </c>
      <c r="L81" s="1" t="s">
        <v>358</v>
      </c>
      <c r="M81" s="1" t="s">
        <v>37</v>
      </c>
      <c r="N81" s="1" t="s">
        <v>17</v>
      </c>
      <c r="O81">
        <f t="shared" si="1"/>
        <v>22</v>
      </c>
      <c r="P81" s="20">
        <f>(Table5[[#This Row],[Likes]]+Table5[[#This Row],[Shares]]+Table5[[#This Row],[Comments]])/Table5[[#This Row],[Impressions]]</f>
        <v>9.4928992718046723E-2</v>
      </c>
      <c r="Q81" s="27">
        <f>Table5[[#This Row],[Likes]]+Table5[[#This Row],[Shares]]+Table5[[#This Row],[Comments]]</f>
        <v>2881</v>
      </c>
    </row>
    <row r="82" spans="1:17" x14ac:dyDescent="0.3">
      <c r="A82" s="1" t="s">
        <v>262</v>
      </c>
      <c r="B82" s="1" t="s">
        <v>29</v>
      </c>
      <c r="C82" s="2">
        <v>45442</v>
      </c>
      <c r="D82" s="1" t="s">
        <v>51</v>
      </c>
      <c r="E82" s="1" t="s">
        <v>32</v>
      </c>
      <c r="F82" s="3">
        <v>1060</v>
      </c>
      <c r="G82" s="3">
        <v>442</v>
      </c>
      <c r="H82" s="3">
        <v>319</v>
      </c>
      <c r="I82" s="3">
        <v>57194</v>
      </c>
      <c r="J82" s="3">
        <v>24258</v>
      </c>
      <c r="K82" s="3">
        <v>101</v>
      </c>
      <c r="L82" s="1" t="s">
        <v>20</v>
      </c>
      <c r="M82" s="1" t="s">
        <v>39</v>
      </c>
      <c r="N82" s="1" t="s">
        <v>52</v>
      </c>
      <c r="O82">
        <f t="shared" si="1"/>
        <v>22</v>
      </c>
      <c r="P82" s="20">
        <f>(Table5[[#This Row],[Likes]]+Table5[[#This Row],[Shares]]+Table5[[#This Row],[Comments]])/Table5[[#This Row],[Impressions]]</f>
        <v>3.1839004091338254E-2</v>
      </c>
      <c r="Q82" s="27">
        <f>Table5[[#This Row],[Likes]]+Table5[[#This Row],[Shares]]+Table5[[#This Row],[Comments]]</f>
        <v>1821</v>
      </c>
    </row>
    <row r="83" spans="1:17" x14ac:dyDescent="0.3">
      <c r="A83" s="1" t="s">
        <v>300</v>
      </c>
      <c r="B83" s="1" t="s">
        <v>14</v>
      </c>
      <c r="C83" s="2">
        <v>45442</v>
      </c>
      <c r="D83" s="1" t="s">
        <v>24</v>
      </c>
      <c r="E83" s="1" t="s">
        <v>34</v>
      </c>
      <c r="F83" s="3">
        <v>2448</v>
      </c>
      <c r="G83" s="3">
        <v>464</v>
      </c>
      <c r="H83" s="3">
        <v>98</v>
      </c>
      <c r="I83" s="3">
        <v>25737</v>
      </c>
      <c r="J83" s="3">
        <v>48545</v>
      </c>
      <c r="K83" s="3">
        <v>246</v>
      </c>
      <c r="L83" s="1" t="s">
        <v>37</v>
      </c>
      <c r="M83" s="1" t="s">
        <v>361</v>
      </c>
      <c r="N83" s="1" t="s">
        <v>49</v>
      </c>
      <c r="O83">
        <f t="shared" si="1"/>
        <v>22</v>
      </c>
      <c r="P83" s="20">
        <f>(Table5[[#This Row],[Likes]]+Table5[[#This Row],[Shares]]+Table5[[#This Row],[Comments]])/Table5[[#This Row],[Impressions]]</f>
        <v>0.11695224773672146</v>
      </c>
      <c r="Q83" s="27">
        <f>Table5[[#This Row],[Likes]]+Table5[[#This Row],[Shares]]+Table5[[#This Row],[Comments]]</f>
        <v>3010</v>
      </c>
    </row>
    <row r="84" spans="1:17" x14ac:dyDescent="0.3">
      <c r="A84" s="1" t="s">
        <v>207</v>
      </c>
      <c r="B84" s="1" t="s">
        <v>14</v>
      </c>
      <c r="C84" s="2">
        <v>45447</v>
      </c>
      <c r="D84" s="1" t="s">
        <v>15</v>
      </c>
      <c r="E84" s="1" t="s">
        <v>34</v>
      </c>
      <c r="F84" s="3">
        <v>3948</v>
      </c>
      <c r="G84" s="3">
        <v>151</v>
      </c>
      <c r="H84" s="3">
        <v>249</v>
      </c>
      <c r="I84" s="3">
        <v>43147</v>
      </c>
      <c r="J84" s="3">
        <v>63136</v>
      </c>
      <c r="K84" s="3">
        <v>230</v>
      </c>
      <c r="L84" s="1" t="s">
        <v>20</v>
      </c>
      <c r="M84" s="1" t="s">
        <v>361</v>
      </c>
      <c r="N84" s="1" t="s">
        <v>21</v>
      </c>
      <c r="O84">
        <f t="shared" si="1"/>
        <v>23</v>
      </c>
      <c r="P84" s="20">
        <f>(Table5[[#This Row],[Likes]]+Table5[[#This Row],[Shares]]+Table5[[#This Row],[Comments]])/Table5[[#This Row],[Impressions]]</f>
        <v>0.10077178019329269</v>
      </c>
      <c r="Q84" s="27">
        <f>Table5[[#This Row],[Likes]]+Table5[[#This Row],[Shares]]+Table5[[#This Row],[Comments]]</f>
        <v>4348</v>
      </c>
    </row>
    <row r="85" spans="1:17" x14ac:dyDescent="0.3">
      <c r="A85" s="1" t="s">
        <v>227</v>
      </c>
      <c r="B85" s="1" t="s">
        <v>29</v>
      </c>
      <c r="C85" s="2">
        <v>45447</v>
      </c>
      <c r="D85" s="1" t="s">
        <v>51</v>
      </c>
      <c r="E85" s="1" t="s">
        <v>27</v>
      </c>
      <c r="F85" s="3">
        <v>1211</v>
      </c>
      <c r="G85" s="3">
        <v>431</v>
      </c>
      <c r="H85" s="3">
        <v>83</v>
      </c>
      <c r="I85" s="3">
        <v>26532</v>
      </c>
      <c r="J85" s="3">
        <v>47305</v>
      </c>
      <c r="K85" s="3">
        <v>232</v>
      </c>
      <c r="L85" s="1" t="s">
        <v>20</v>
      </c>
      <c r="M85" s="1" t="s">
        <v>39</v>
      </c>
      <c r="N85" s="1" t="s">
        <v>52</v>
      </c>
      <c r="O85">
        <f t="shared" si="1"/>
        <v>23</v>
      </c>
      <c r="P85" s="20">
        <f>(Table5[[#This Row],[Likes]]+Table5[[#This Row],[Shares]]+Table5[[#This Row],[Comments]])/Table5[[#This Row],[Impressions]]</f>
        <v>6.5015829941203071E-2</v>
      </c>
      <c r="Q85" s="27">
        <f>Table5[[#This Row],[Likes]]+Table5[[#This Row],[Shares]]+Table5[[#This Row],[Comments]]</f>
        <v>1725</v>
      </c>
    </row>
    <row r="86" spans="1:17" x14ac:dyDescent="0.3">
      <c r="A86" s="1" t="s">
        <v>291</v>
      </c>
      <c r="B86" s="1" t="s">
        <v>23</v>
      </c>
      <c r="C86" s="2">
        <v>45451</v>
      </c>
      <c r="D86" s="1" t="s">
        <v>24</v>
      </c>
      <c r="E86" s="1" t="s">
        <v>77</v>
      </c>
      <c r="F86" s="3">
        <v>3413</v>
      </c>
      <c r="G86" s="3">
        <v>326</v>
      </c>
      <c r="H86" s="3">
        <v>86</v>
      </c>
      <c r="I86" s="3">
        <v>44680</v>
      </c>
      <c r="J86" s="3">
        <v>52719</v>
      </c>
      <c r="K86" s="3">
        <v>272</v>
      </c>
      <c r="L86" s="1" t="s">
        <v>20</v>
      </c>
      <c r="M86" s="1" t="s">
        <v>358</v>
      </c>
      <c r="N86" s="1" t="s">
        <v>17</v>
      </c>
      <c r="O86">
        <f t="shared" si="1"/>
        <v>23</v>
      </c>
      <c r="P86" s="20">
        <f>(Table5[[#This Row],[Likes]]+Table5[[#This Row],[Shares]]+Table5[[#This Row],[Comments]])/Table5[[#This Row],[Impressions]]</f>
        <v>8.5608773500447627E-2</v>
      </c>
      <c r="Q86" s="27">
        <f>Table5[[#This Row],[Likes]]+Table5[[#This Row],[Shares]]+Table5[[#This Row],[Comments]]</f>
        <v>3825</v>
      </c>
    </row>
    <row r="87" spans="1:17" x14ac:dyDescent="0.3">
      <c r="A87" s="1" t="s">
        <v>56</v>
      </c>
      <c r="B87" s="1" t="s">
        <v>29</v>
      </c>
      <c r="C87" s="2">
        <v>45452</v>
      </c>
      <c r="D87" s="1" t="s">
        <v>51</v>
      </c>
      <c r="E87" s="1" t="s">
        <v>43</v>
      </c>
      <c r="F87" s="3">
        <v>2786</v>
      </c>
      <c r="G87" s="3">
        <v>368</v>
      </c>
      <c r="H87" s="3">
        <v>208</v>
      </c>
      <c r="I87" s="3">
        <v>42000</v>
      </c>
      <c r="J87" s="3">
        <v>39967</v>
      </c>
      <c r="K87" s="3">
        <v>103</v>
      </c>
      <c r="L87" s="1" t="s">
        <v>20</v>
      </c>
      <c r="M87" s="1" t="s">
        <v>39</v>
      </c>
      <c r="N87" s="1" t="s">
        <v>52</v>
      </c>
      <c r="O87">
        <f t="shared" si="1"/>
        <v>24</v>
      </c>
      <c r="P87" s="20">
        <f>(Table5[[#This Row],[Likes]]+Table5[[#This Row],[Shares]]+Table5[[#This Row],[Comments]])/Table5[[#This Row],[Impressions]]</f>
        <v>8.0047619047619048E-2</v>
      </c>
      <c r="Q87" s="27">
        <f>Table5[[#This Row],[Likes]]+Table5[[#This Row],[Shares]]+Table5[[#This Row],[Comments]]</f>
        <v>3362</v>
      </c>
    </row>
    <row r="88" spans="1:17" x14ac:dyDescent="0.3">
      <c r="A88" s="1" t="s">
        <v>47</v>
      </c>
      <c r="B88" s="1" t="s">
        <v>23</v>
      </c>
      <c r="C88" s="2">
        <v>45453</v>
      </c>
      <c r="D88" s="1" t="s">
        <v>15</v>
      </c>
      <c r="E88" s="1" t="s">
        <v>32</v>
      </c>
      <c r="F88" s="3">
        <v>1514</v>
      </c>
      <c r="G88" s="3">
        <v>164</v>
      </c>
      <c r="H88" s="3">
        <v>275</v>
      </c>
      <c r="I88" s="3">
        <v>41364</v>
      </c>
      <c r="J88" s="3">
        <v>44389</v>
      </c>
      <c r="K88" s="3">
        <v>83</v>
      </c>
      <c r="L88" s="1" t="s">
        <v>37</v>
      </c>
      <c r="M88" s="1" t="s">
        <v>361</v>
      </c>
      <c r="N88" s="1" t="s">
        <v>17</v>
      </c>
      <c r="O88">
        <f t="shared" si="1"/>
        <v>24</v>
      </c>
      <c r="P88" s="20">
        <f>(Table5[[#This Row],[Likes]]+Table5[[#This Row],[Shares]]+Table5[[#This Row],[Comments]])/Table5[[#This Row],[Impressions]]</f>
        <v>4.7214969538729328E-2</v>
      </c>
      <c r="Q88" s="27">
        <f>Table5[[#This Row],[Likes]]+Table5[[#This Row],[Shares]]+Table5[[#This Row],[Comments]]</f>
        <v>1953</v>
      </c>
    </row>
    <row r="89" spans="1:17" x14ac:dyDescent="0.3">
      <c r="A89" s="1" t="s">
        <v>31</v>
      </c>
      <c r="B89" s="1" t="s">
        <v>29</v>
      </c>
      <c r="C89" s="2">
        <v>45456</v>
      </c>
      <c r="D89" s="1" t="s">
        <v>15</v>
      </c>
      <c r="E89" s="1" t="s">
        <v>32</v>
      </c>
      <c r="F89" s="3">
        <v>3882</v>
      </c>
      <c r="G89" s="3">
        <v>239</v>
      </c>
      <c r="H89" s="3">
        <v>275</v>
      </c>
      <c r="I89" s="3">
        <v>58748</v>
      </c>
      <c r="J89" s="3">
        <v>44646</v>
      </c>
      <c r="K89" s="3">
        <v>149</v>
      </c>
      <c r="L89" s="1" t="s">
        <v>20</v>
      </c>
      <c r="M89" s="1" t="s">
        <v>359</v>
      </c>
      <c r="N89" s="1" t="s">
        <v>21</v>
      </c>
      <c r="O89">
        <f t="shared" si="1"/>
        <v>24</v>
      </c>
      <c r="P89" s="20">
        <f>(Table5[[#This Row],[Likes]]+Table5[[#This Row],[Shares]]+Table5[[#This Row],[Comments]])/Table5[[#This Row],[Impressions]]</f>
        <v>7.4828079253761837E-2</v>
      </c>
      <c r="Q89" s="27">
        <f>Table5[[#This Row],[Likes]]+Table5[[#This Row],[Shares]]+Table5[[#This Row],[Comments]]</f>
        <v>4396</v>
      </c>
    </row>
    <row r="90" spans="1:17" x14ac:dyDescent="0.3">
      <c r="A90" s="1" t="s">
        <v>282</v>
      </c>
      <c r="B90" s="1" t="s">
        <v>29</v>
      </c>
      <c r="C90" s="2">
        <v>45457</v>
      </c>
      <c r="D90" s="1" t="s">
        <v>51</v>
      </c>
      <c r="E90" s="1" t="s">
        <v>27</v>
      </c>
      <c r="F90" s="3">
        <v>4722</v>
      </c>
      <c r="G90" s="3">
        <v>310</v>
      </c>
      <c r="H90" s="3">
        <v>344</v>
      </c>
      <c r="I90" s="3">
        <v>27911</v>
      </c>
      <c r="J90" s="3">
        <v>19000</v>
      </c>
      <c r="K90" s="3">
        <v>225</v>
      </c>
      <c r="L90" s="1" t="s">
        <v>20</v>
      </c>
      <c r="M90" s="1" t="s">
        <v>39</v>
      </c>
      <c r="N90" s="1" t="s">
        <v>52</v>
      </c>
      <c r="O90">
        <f t="shared" si="1"/>
        <v>24</v>
      </c>
      <c r="P90" s="20">
        <f>(Table5[[#This Row],[Likes]]+Table5[[#This Row],[Shares]]+Table5[[#This Row],[Comments]])/Table5[[#This Row],[Impressions]]</f>
        <v>0.19261223173659131</v>
      </c>
      <c r="Q90" s="27">
        <f>Table5[[#This Row],[Likes]]+Table5[[#This Row],[Shares]]+Table5[[#This Row],[Comments]]</f>
        <v>5376</v>
      </c>
    </row>
    <row r="91" spans="1:17" x14ac:dyDescent="0.3">
      <c r="A91" s="1" t="s">
        <v>50</v>
      </c>
      <c r="B91" s="1" t="s">
        <v>29</v>
      </c>
      <c r="C91" s="2">
        <v>45458</v>
      </c>
      <c r="D91" s="1" t="s">
        <v>51</v>
      </c>
      <c r="E91" s="1" t="s">
        <v>34</v>
      </c>
      <c r="F91" s="3">
        <v>1751</v>
      </c>
      <c r="G91" s="3">
        <v>143</v>
      </c>
      <c r="H91" s="3">
        <v>151</v>
      </c>
      <c r="I91" s="3">
        <v>31826</v>
      </c>
      <c r="J91" s="3">
        <v>47729</v>
      </c>
      <c r="K91" s="3">
        <v>95</v>
      </c>
      <c r="L91" s="1" t="s">
        <v>20</v>
      </c>
      <c r="M91" s="1" t="s">
        <v>39</v>
      </c>
      <c r="N91" s="1" t="s">
        <v>52</v>
      </c>
      <c r="O91">
        <f t="shared" si="1"/>
        <v>24</v>
      </c>
      <c r="P91" s="20">
        <f>(Table5[[#This Row],[Likes]]+Table5[[#This Row],[Shares]]+Table5[[#This Row],[Comments]])/Table5[[#This Row],[Impressions]]</f>
        <v>6.4255640042732362E-2</v>
      </c>
      <c r="Q91" s="27">
        <f>Table5[[#This Row],[Likes]]+Table5[[#This Row],[Shares]]+Table5[[#This Row],[Comments]]</f>
        <v>2045</v>
      </c>
    </row>
    <row r="92" spans="1:17" x14ac:dyDescent="0.3">
      <c r="A92" s="1" t="s">
        <v>220</v>
      </c>
      <c r="B92" s="1" t="s">
        <v>23</v>
      </c>
      <c r="C92" s="2">
        <v>45459</v>
      </c>
      <c r="D92" s="1" t="s">
        <v>24</v>
      </c>
      <c r="E92" s="1" t="s">
        <v>19</v>
      </c>
      <c r="F92" s="3">
        <v>4618</v>
      </c>
      <c r="G92" s="3">
        <v>312</v>
      </c>
      <c r="H92" s="3">
        <v>254</v>
      </c>
      <c r="I92" s="3">
        <v>22571</v>
      </c>
      <c r="J92" s="3">
        <v>29453</v>
      </c>
      <c r="K92" s="3">
        <v>197</v>
      </c>
      <c r="L92" s="1" t="s">
        <v>358</v>
      </c>
      <c r="M92" s="1" t="s">
        <v>37</v>
      </c>
      <c r="N92" s="1" t="s">
        <v>17</v>
      </c>
      <c r="O92">
        <f t="shared" si="1"/>
        <v>25</v>
      </c>
      <c r="P92" s="20">
        <f>(Table5[[#This Row],[Likes]]+Table5[[#This Row],[Shares]]+Table5[[#This Row],[Comments]])/Table5[[#This Row],[Impressions]]</f>
        <v>0.22967524699836073</v>
      </c>
      <c r="Q92" s="27">
        <f>Table5[[#This Row],[Likes]]+Table5[[#This Row],[Shares]]+Table5[[#This Row],[Comments]]</f>
        <v>5184</v>
      </c>
    </row>
    <row r="93" spans="1:17" x14ac:dyDescent="0.3">
      <c r="A93" s="1" t="s">
        <v>177</v>
      </c>
      <c r="B93" s="1" t="s">
        <v>14</v>
      </c>
      <c r="C93" s="2">
        <v>45460</v>
      </c>
      <c r="D93" s="1" t="s">
        <v>15</v>
      </c>
      <c r="E93" s="1" t="s">
        <v>16</v>
      </c>
      <c r="F93" s="3">
        <v>4283</v>
      </c>
      <c r="G93" s="3">
        <v>471</v>
      </c>
      <c r="H93" s="3">
        <v>156</v>
      </c>
      <c r="I93" s="3">
        <v>53004</v>
      </c>
      <c r="J93" s="3">
        <v>25678</v>
      </c>
      <c r="K93" s="3">
        <v>105</v>
      </c>
      <c r="L93" s="1" t="s">
        <v>20</v>
      </c>
      <c r="M93" s="1" t="s">
        <v>361</v>
      </c>
      <c r="N93" s="1" t="s">
        <v>21</v>
      </c>
      <c r="O93">
        <f t="shared" si="1"/>
        <v>25</v>
      </c>
      <c r="P93" s="20">
        <f>(Table5[[#This Row],[Likes]]+Table5[[#This Row],[Shares]]+Table5[[#This Row],[Comments]])/Table5[[#This Row],[Impressions]]</f>
        <v>9.2634518149573616E-2</v>
      </c>
      <c r="Q93" s="27">
        <f>Table5[[#This Row],[Likes]]+Table5[[#This Row],[Shares]]+Table5[[#This Row],[Comments]]</f>
        <v>4910</v>
      </c>
    </row>
    <row r="94" spans="1:17" x14ac:dyDescent="0.3">
      <c r="A94" s="1" t="s">
        <v>257</v>
      </c>
      <c r="B94" s="1" t="s">
        <v>23</v>
      </c>
      <c r="C94" s="2">
        <v>45462</v>
      </c>
      <c r="D94" s="1" t="s">
        <v>15</v>
      </c>
      <c r="E94" s="1" t="s">
        <v>32</v>
      </c>
      <c r="F94" s="3">
        <v>1224</v>
      </c>
      <c r="G94" s="3">
        <v>168</v>
      </c>
      <c r="H94" s="3">
        <v>199</v>
      </c>
      <c r="I94" s="3">
        <v>54232</v>
      </c>
      <c r="J94" s="3">
        <v>52844</v>
      </c>
      <c r="K94" s="3">
        <v>271</v>
      </c>
      <c r="L94" s="1" t="s">
        <v>39</v>
      </c>
      <c r="M94" s="1" t="s">
        <v>361</v>
      </c>
      <c r="N94" s="1" t="s">
        <v>21</v>
      </c>
      <c r="O94">
        <f t="shared" si="1"/>
        <v>25</v>
      </c>
      <c r="P94" s="20">
        <f>(Table5[[#This Row],[Likes]]+Table5[[#This Row],[Shares]]+Table5[[#This Row],[Comments]])/Table5[[#This Row],[Impressions]]</f>
        <v>2.9336922849977874E-2</v>
      </c>
      <c r="Q94" s="27">
        <f>Table5[[#This Row],[Likes]]+Table5[[#This Row],[Shares]]+Table5[[#This Row],[Comments]]</f>
        <v>1591</v>
      </c>
    </row>
    <row r="95" spans="1:17" x14ac:dyDescent="0.3">
      <c r="A95" s="1" t="s">
        <v>303</v>
      </c>
      <c r="B95" s="1" t="s">
        <v>29</v>
      </c>
      <c r="C95" s="2">
        <v>45464</v>
      </c>
      <c r="D95" s="1" t="s">
        <v>51</v>
      </c>
      <c r="E95" s="1" t="s">
        <v>30</v>
      </c>
      <c r="F95" s="3">
        <v>4621</v>
      </c>
      <c r="G95" s="3">
        <v>374</v>
      </c>
      <c r="H95" s="3">
        <v>298</v>
      </c>
      <c r="I95" s="3">
        <v>56979</v>
      </c>
      <c r="J95" s="3">
        <v>24098</v>
      </c>
      <c r="K95" s="3">
        <v>205</v>
      </c>
      <c r="L95" s="1" t="s">
        <v>20</v>
      </c>
      <c r="M95" s="1" t="s">
        <v>39</v>
      </c>
      <c r="N95" s="1" t="s">
        <v>52</v>
      </c>
      <c r="O95">
        <f t="shared" si="1"/>
        <v>25</v>
      </c>
      <c r="P95" s="20">
        <f>(Table5[[#This Row],[Likes]]+Table5[[#This Row],[Shares]]+Table5[[#This Row],[Comments]])/Table5[[#This Row],[Impressions]]</f>
        <v>9.2893873181347508E-2</v>
      </c>
      <c r="Q95" s="27">
        <f>Table5[[#This Row],[Likes]]+Table5[[#This Row],[Shares]]+Table5[[#This Row],[Comments]]</f>
        <v>5293</v>
      </c>
    </row>
    <row r="96" spans="1:17" x14ac:dyDescent="0.3">
      <c r="A96" s="1" t="s">
        <v>321</v>
      </c>
      <c r="B96" s="1" t="s">
        <v>29</v>
      </c>
      <c r="C96" s="2">
        <v>45468</v>
      </c>
      <c r="D96" s="1" t="s">
        <v>15</v>
      </c>
      <c r="E96" s="1" t="s">
        <v>45</v>
      </c>
      <c r="F96" s="3">
        <v>2172</v>
      </c>
      <c r="G96" s="3">
        <v>338</v>
      </c>
      <c r="H96" s="3">
        <v>70</v>
      </c>
      <c r="I96" s="3">
        <v>30515</v>
      </c>
      <c r="J96" s="3">
        <v>57853</v>
      </c>
      <c r="K96" s="3">
        <v>156</v>
      </c>
      <c r="L96" s="1" t="s">
        <v>20</v>
      </c>
      <c r="M96" s="1" t="s">
        <v>359</v>
      </c>
      <c r="N96" s="1" t="s">
        <v>21</v>
      </c>
      <c r="O96">
        <f t="shared" si="1"/>
        <v>26</v>
      </c>
      <c r="P96" s="20">
        <f>(Table5[[#This Row],[Likes]]+Table5[[#This Row],[Shares]]+Table5[[#This Row],[Comments]])/Table5[[#This Row],[Impressions]]</f>
        <v>8.4548582664263475E-2</v>
      </c>
      <c r="Q96" s="27">
        <f>Table5[[#This Row],[Likes]]+Table5[[#This Row],[Shares]]+Table5[[#This Row],[Comments]]</f>
        <v>2580</v>
      </c>
    </row>
    <row r="97" spans="1:17" x14ac:dyDescent="0.3">
      <c r="A97" s="1" t="s">
        <v>144</v>
      </c>
      <c r="B97" s="1" t="s">
        <v>14</v>
      </c>
      <c r="C97" s="2">
        <v>45469</v>
      </c>
      <c r="D97" s="1" t="s">
        <v>15</v>
      </c>
      <c r="E97" s="1" t="s">
        <v>25</v>
      </c>
      <c r="F97" s="3">
        <v>3253</v>
      </c>
      <c r="G97" s="3">
        <v>483</v>
      </c>
      <c r="H97" s="3">
        <v>336</v>
      </c>
      <c r="I97" s="3">
        <v>25397</v>
      </c>
      <c r="J97" s="3">
        <v>51485</v>
      </c>
      <c r="K97" s="3">
        <v>131</v>
      </c>
      <c r="L97" s="1" t="s">
        <v>20</v>
      </c>
      <c r="M97" s="1" t="s">
        <v>361</v>
      </c>
      <c r="N97" s="1" t="s">
        <v>21</v>
      </c>
      <c r="O97">
        <f t="shared" si="1"/>
        <v>26</v>
      </c>
      <c r="P97" s="20">
        <f>(Table5[[#This Row],[Likes]]+Table5[[#This Row],[Shares]]+Table5[[#This Row],[Comments]])/Table5[[#This Row],[Impressions]]</f>
        <v>0.16033389770445328</v>
      </c>
      <c r="Q97" s="27">
        <f>Table5[[#This Row],[Likes]]+Table5[[#This Row],[Shares]]+Table5[[#This Row],[Comments]]</f>
        <v>4072</v>
      </c>
    </row>
    <row r="98" spans="1:17" x14ac:dyDescent="0.3">
      <c r="A98" s="1" t="s">
        <v>325</v>
      </c>
      <c r="B98" s="1" t="s">
        <v>14</v>
      </c>
      <c r="C98" s="2">
        <v>45472</v>
      </c>
      <c r="D98" s="1" t="s">
        <v>15</v>
      </c>
      <c r="E98" s="1" t="s">
        <v>45</v>
      </c>
      <c r="F98" s="3">
        <v>2088</v>
      </c>
      <c r="G98" s="3">
        <v>490</v>
      </c>
      <c r="H98" s="3">
        <v>124</v>
      </c>
      <c r="I98" s="3">
        <v>46544</v>
      </c>
      <c r="J98" s="3">
        <v>69346</v>
      </c>
      <c r="K98" s="3">
        <v>178</v>
      </c>
      <c r="L98" s="1" t="s">
        <v>39</v>
      </c>
      <c r="M98" s="1" t="s">
        <v>37</v>
      </c>
      <c r="N98" s="1" t="s">
        <v>17</v>
      </c>
      <c r="O98">
        <f t="shared" si="1"/>
        <v>26</v>
      </c>
      <c r="P98" s="20">
        <f>(Table5[[#This Row],[Likes]]+Table5[[#This Row],[Shares]]+Table5[[#This Row],[Comments]])/Table5[[#This Row],[Impressions]]</f>
        <v>5.8052595393606049E-2</v>
      </c>
      <c r="Q98" s="27">
        <f>Table5[[#This Row],[Likes]]+Table5[[#This Row],[Shares]]+Table5[[#This Row],[Comments]]</f>
        <v>2702</v>
      </c>
    </row>
    <row r="99" spans="1:17" x14ac:dyDescent="0.3">
      <c r="A99" s="1" t="s">
        <v>210</v>
      </c>
      <c r="B99" s="1" t="s">
        <v>14</v>
      </c>
      <c r="C99" s="2">
        <v>45475</v>
      </c>
      <c r="D99" s="1" t="s">
        <v>15</v>
      </c>
      <c r="E99" s="1" t="s">
        <v>77</v>
      </c>
      <c r="F99" s="3">
        <v>3469</v>
      </c>
      <c r="G99" s="3">
        <v>371</v>
      </c>
      <c r="H99" s="3">
        <v>76</v>
      </c>
      <c r="I99" s="3">
        <v>46493</v>
      </c>
      <c r="J99" s="3">
        <v>26906</v>
      </c>
      <c r="K99" s="3">
        <v>150</v>
      </c>
      <c r="L99" s="1" t="s">
        <v>39</v>
      </c>
      <c r="M99" s="1" t="s">
        <v>37</v>
      </c>
      <c r="N99" s="1" t="s">
        <v>17</v>
      </c>
      <c r="O99">
        <f t="shared" si="1"/>
        <v>27</v>
      </c>
      <c r="P99" s="20">
        <f>(Table5[[#This Row],[Likes]]+Table5[[#This Row],[Shares]]+Table5[[#This Row],[Comments]])/Table5[[#This Row],[Impressions]]</f>
        <v>8.4227733207149463E-2</v>
      </c>
      <c r="Q99" s="27">
        <f>Table5[[#This Row],[Likes]]+Table5[[#This Row],[Shares]]+Table5[[#This Row],[Comments]]</f>
        <v>3916</v>
      </c>
    </row>
    <row r="100" spans="1:17" x14ac:dyDescent="0.3">
      <c r="A100" s="1" t="s">
        <v>53</v>
      </c>
      <c r="B100" s="1" t="s">
        <v>14</v>
      </c>
      <c r="C100" s="2">
        <v>45478</v>
      </c>
      <c r="D100" s="1" t="s">
        <v>15</v>
      </c>
      <c r="E100" s="1" t="s">
        <v>45</v>
      </c>
      <c r="F100" s="3">
        <v>3753</v>
      </c>
      <c r="G100" s="3">
        <v>411</v>
      </c>
      <c r="H100" s="3">
        <v>308</v>
      </c>
      <c r="I100" s="3">
        <v>29138</v>
      </c>
      <c r="J100" s="3">
        <v>27678</v>
      </c>
      <c r="K100" s="3">
        <v>90</v>
      </c>
      <c r="L100" s="1" t="s">
        <v>20</v>
      </c>
      <c r="M100" s="1" t="s">
        <v>361</v>
      </c>
      <c r="N100" s="1" t="s">
        <v>21</v>
      </c>
      <c r="O100">
        <f t="shared" si="1"/>
        <v>27</v>
      </c>
      <c r="P100" s="20">
        <f>(Table5[[#This Row],[Likes]]+Table5[[#This Row],[Shares]]+Table5[[#This Row],[Comments]])/Table5[[#This Row],[Impressions]]</f>
        <v>0.15347655981879332</v>
      </c>
      <c r="Q100" s="27">
        <f>Table5[[#This Row],[Likes]]+Table5[[#This Row],[Shares]]+Table5[[#This Row],[Comments]]</f>
        <v>4472</v>
      </c>
    </row>
    <row r="101" spans="1:17" x14ac:dyDescent="0.3">
      <c r="A101" s="1" t="s">
        <v>97</v>
      </c>
      <c r="B101" s="1" t="s">
        <v>23</v>
      </c>
      <c r="C101" s="2">
        <v>45480</v>
      </c>
      <c r="D101" s="1" t="s">
        <v>15</v>
      </c>
      <c r="E101" s="1" t="s">
        <v>25</v>
      </c>
      <c r="F101" s="3">
        <v>1035</v>
      </c>
      <c r="G101" s="3">
        <v>137</v>
      </c>
      <c r="H101" s="3">
        <v>184</v>
      </c>
      <c r="I101" s="3">
        <v>37302</v>
      </c>
      <c r="J101" s="3">
        <v>68953</v>
      </c>
      <c r="K101" s="3">
        <v>237</v>
      </c>
      <c r="L101" s="1" t="s">
        <v>39</v>
      </c>
      <c r="M101" s="1" t="s">
        <v>361</v>
      </c>
      <c r="N101" s="1" t="s">
        <v>21</v>
      </c>
      <c r="O101">
        <f t="shared" si="1"/>
        <v>28</v>
      </c>
      <c r="P101" s="20">
        <f>(Table5[[#This Row],[Likes]]+Table5[[#This Row],[Shares]]+Table5[[#This Row],[Comments]])/Table5[[#This Row],[Impressions]]</f>
        <v>3.6351938233874857E-2</v>
      </c>
      <c r="Q101" s="27">
        <f>Table5[[#This Row],[Likes]]+Table5[[#This Row],[Shares]]+Table5[[#This Row],[Comments]]</f>
        <v>1356</v>
      </c>
    </row>
    <row r="102" spans="1:17" x14ac:dyDescent="0.3">
      <c r="A102" s="1" t="s">
        <v>285</v>
      </c>
      <c r="B102" s="1" t="s">
        <v>23</v>
      </c>
      <c r="C102" s="2">
        <v>45480</v>
      </c>
      <c r="D102" s="1" t="s">
        <v>15</v>
      </c>
      <c r="E102" s="1" t="s">
        <v>32</v>
      </c>
      <c r="F102" s="3">
        <v>1848</v>
      </c>
      <c r="G102" s="3">
        <v>417</v>
      </c>
      <c r="H102" s="3">
        <v>294</v>
      </c>
      <c r="I102" s="3">
        <v>57819</v>
      </c>
      <c r="J102" s="3">
        <v>19798</v>
      </c>
      <c r="K102" s="3">
        <v>262</v>
      </c>
      <c r="L102" s="1" t="s">
        <v>39</v>
      </c>
      <c r="M102" s="1" t="s">
        <v>361</v>
      </c>
      <c r="N102" s="1" t="s">
        <v>21</v>
      </c>
      <c r="O102">
        <f t="shared" si="1"/>
        <v>28</v>
      </c>
      <c r="P102" s="20">
        <f>(Table5[[#This Row],[Likes]]+Table5[[#This Row],[Shares]]+Table5[[#This Row],[Comments]])/Table5[[#This Row],[Impressions]]</f>
        <v>4.4258807658382193E-2</v>
      </c>
      <c r="Q102" s="27">
        <f>Table5[[#This Row],[Likes]]+Table5[[#This Row],[Shares]]+Table5[[#This Row],[Comments]]</f>
        <v>2559</v>
      </c>
    </row>
    <row r="103" spans="1:17" x14ac:dyDescent="0.3">
      <c r="A103" s="1" t="s">
        <v>280</v>
      </c>
      <c r="B103" s="1" t="s">
        <v>23</v>
      </c>
      <c r="C103" s="2">
        <v>45481</v>
      </c>
      <c r="D103" s="1" t="s">
        <v>24</v>
      </c>
      <c r="E103" s="1" t="s">
        <v>77</v>
      </c>
      <c r="F103" s="3">
        <v>2981</v>
      </c>
      <c r="G103" s="3">
        <v>258</v>
      </c>
      <c r="H103" s="3">
        <v>168</v>
      </c>
      <c r="I103" s="3">
        <v>20677</v>
      </c>
      <c r="J103" s="3">
        <v>68290</v>
      </c>
      <c r="K103" s="3">
        <v>130</v>
      </c>
      <c r="L103" s="1" t="s">
        <v>39</v>
      </c>
      <c r="M103" s="1" t="s">
        <v>37</v>
      </c>
      <c r="N103" s="1" t="s">
        <v>17</v>
      </c>
      <c r="O103">
        <f t="shared" si="1"/>
        <v>28</v>
      </c>
      <c r="P103" s="20">
        <f>(Table5[[#This Row],[Likes]]+Table5[[#This Row],[Shares]]+Table5[[#This Row],[Comments]])/Table5[[#This Row],[Impressions]]</f>
        <v>0.16477245248343569</v>
      </c>
      <c r="Q103" s="27">
        <f>Table5[[#This Row],[Likes]]+Table5[[#This Row],[Shares]]+Table5[[#This Row],[Comments]]</f>
        <v>3407</v>
      </c>
    </row>
    <row r="104" spans="1:17" x14ac:dyDescent="0.3">
      <c r="A104" s="1" t="s">
        <v>290</v>
      </c>
      <c r="B104" s="1" t="s">
        <v>23</v>
      </c>
      <c r="C104" s="2">
        <v>45481</v>
      </c>
      <c r="D104" s="1" t="s">
        <v>24</v>
      </c>
      <c r="E104" s="1" t="s">
        <v>27</v>
      </c>
      <c r="F104" s="3">
        <v>2304</v>
      </c>
      <c r="G104" s="3">
        <v>289</v>
      </c>
      <c r="H104" s="3">
        <v>161</v>
      </c>
      <c r="I104" s="3">
        <v>52645</v>
      </c>
      <c r="J104" s="3">
        <v>66262</v>
      </c>
      <c r="K104" s="3">
        <v>146</v>
      </c>
      <c r="L104" s="1" t="s">
        <v>358</v>
      </c>
      <c r="M104" s="1" t="s">
        <v>37</v>
      </c>
      <c r="N104" s="1" t="s">
        <v>17</v>
      </c>
      <c r="O104">
        <f t="shared" si="1"/>
        <v>28</v>
      </c>
      <c r="P104" s="20">
        <f>(Table5[[#This Row],[Likes]]+Table5[[#This Row],[Shares]]+Table5[[#This Row],[Comments]])/Table5[[#This Row],[Impressions]]</f>
        <v>5.2312660271630736E-2</v>
      </c>
      <c r="Q104" s="27">
        <f>Table5[[#This Row],[Likes]]+Table5[[#This Row],[Shares]]+Table5[[#This Row],[Comments]]</f>
        <v>2754</v>
      </c>
    </row>
    <row r="105" spans="1:17" x14ac:dyDescent="0.3">
      <c r="A105" s="1" t="s">
        <v>233</v>
      </c>
      <c r="B105" s="1" t="s">
        <v>23</v>
      </c>
      <c r="C105" s="2">
        <v>45484</v>
      </c>
      <c r="D105" s="1" t="s">
        <v>24</v>
      </c>
      <c r="E105" s="1" t="s">
        <v>34</v>
      </c>
      <c r="F105" s="3">
        <v>4247</v>
      </c>
      <c r="G105" s="3">
        <v>179</v>
      </c>
      <c r="H105" s="3">
        <v>175</v>
      </c>
      <c r="I105" s="3">
        <v>32991</v>
      </c>
      <c r="J105" s="3">
        <v>70120</v>
      </c>
      <c r="K105" s="3">
        <v>276</v>
      </c>
      <c r="L105" s="1" t="s">
        <v>39</v>
      </c>
      <c r="M105" s="1" t="s">
        <v>37</v>
      </c>
      <c r="N105" s="1" t="s">
        <v>17</v>
      </c>
      <c r="O105">
        <f t="shared" si="1"/>
        <v>28</v>
      </c>
      <c r="P105" s="20">
        <f>(Table5[[#This Row],[Likes]]+Table5[[#This Row],[Shares]]+Table5[[#This Row],[Comments]])/Table5[[#This Row],[Impressions]]</f>
        <v>0.13946227759085811</v>
      </c>
      <c r="Q105" s="27">
        <f>Table5[[#This Row],[Likes]]+Table5[[#This Row],[Shares]]+Table5[[#This Row],[Comments]]</f>
        <v>4601</v>
      </c>
    </row>
    <row r="106" spans="1:17" x14ac:dyDescent="0.3">
      <c r="A106" s="1" t="s">
        <v>218</v>
      </c>
      <c r="B106" s="1" t="s">
        <v>23</v>
      </c>
      <c r="C106" s="2">
        <v>45486</v>
      </c>
      <c r="D106" s="1" t="s">
        <v>24</v>
      </c>
      <c r="E106" s="1" t="s">
        <v>34</v>
      </c>
      <c r="F106" s="3">
        <v>2408</v>
      </c>
      <c r="G106" s="3">
        <v>323</v>
      </c>
      <c r="H106" s="3">
        <v>251</v>
      </c>
      <c r="I106" s="3">
        <v>47599</v>
      </c>
      <c r="J106" s="3">
        <v>35543</v>
      </c>
      <c r="K106" s="3">
        <v>287</v>
      </c>
      <c r="L106" s="1" t="s">
        <v>358</v>
      </c>
      <c r="M106" s="1" t="s">
        <v>37</v>
      </c>
      <c r="N106" s="1" t="s">
        <v>17</v>
      </c>
      <c r="O106">
        <f t="shared" si="1"/>
        <v>28</v>
      </c>
      <c r="P106" s="20">
        <f>(Table5[[#This Row],[Likes]]+Table5[[#This Row],[Shares]]+Table5[[#This Row],[Comments]])/Table5[[#This Row],[Impressions]]</f>
        <v>6.2648374965860634E-2</v>
      </c>
      <c r="Q106" s="27">
        <f>Table5[[#This Row],[Likes]]+Table5[[#This Row],[Shares]]+Table5[[#This Row],[Comments]]</f>
        <v>2982</v>
      </c>
    </row>
    <row r="107" spans="1:17" x14ac:dyDescent="0.3">
      <c r="A107" s="1" t="s">
        <v>79</v>
      </c>
      <c r="B107" s="1" t="s">
        <v>29</v>
      </c>
      <c r="C107" s="2">
        <v>45487</v>
      </c>
      <c r="D107" s="1" t="s">
        <v>15</v>
      </c>
      <c r="E107" s="1" t="s">
        <v>45</v>
      </c>
      <c r="F107" s="3">
        <v>3806</v>
      </c>
      <c r="G107" s="3">
        <v>114</v>
      </c>
      <c r="H107" s="3">
        <v>278</v>
      </c>
      <c r="I107" s="3">
        <v>36148</v>
      </c>
      <c r="J107" s="3">
        <v>24209</v>
      </c>
      <c r="K107" s="3">
        <v>201</v>
      </c>
      <c r="L107" s="1" t="s">
        <v>20</v>
      </c>
      <c r="M107" s="1" t="s">
        <v>359</v>
      </c>
      <c r="N107" s="1" t="s">
        <v>21</v>
      </c>
      <c r="O107">
        <f t="shared" si="1"/>
        <v>29</v>
      </c>
      <c r="P107" s="20">
        <f>(Table5[[#This Row],[Likes]]+Table5[[#This Row],[Shares]]+Table5[[#This Row],[Comments]])/Table5[[#This Row],[Impressions]]</f>
        <v>0.11613367267898639</v>
      </c>
      <c r="Q107" s="27">
        <f>Table5[[#This Row],[Likes]]+Table5[[#This Row],[Shares]]+Table5[[#This Row],[Comments]]</f>
        <v>4198</v>
      </c>
    </row>
    <row r="108" spans="1:17" x14ac:dyDescent="0.3">
      <c r="A108" s="1" t="s">
        <v>110</v>
      </c>
      <c r="B108" s="1" t="s">
        <v>14</v>
      </c>
      <c r="C108" s="2">
        <v>45487</v>
      </c>
      <c r="D108" s="1" t="s">
        <v>15</v>
      </c>
      <c r="E108" s="1" t="s">
        <v>27</v>
      </c>
      <c r="F108" s="3">
        <v>2464</v>
      </c>
      <c r="G108" s="3">
        <v>401</v>
      </c>
      <c r="H108" s="3">
        <v>78</v>
      </c>
      <c r="I108" s="3">
        <v>38665</v>
      </c>
      <c r="J108" s="3">
        <v>73593</v>
      </c>
      <c r="K108" s="3">
        <v>207</v>
      </c>
      <c r="L108" s="1" t="s">
        <v>20</v>
      </c>
      <c r="M108" s="1" t="s">
        <v>361</v>
      </c>
      <c r="N108" s="1" t="s">
        <v>21</v>
      </c>
      <c r="O108">
        <f t="shared" si="1"/>
        <v>29</v>
      </c>
      <c r="P108" s="20">
        <f>(Table5[[#This Row],[Likes]]+Table5[[#This Row],[Shares]]+Table5[[#This Row],[Comments]])/Table5[[#This Row],[Impressions]]</f>
        <v>7.611534979956032E-2</v>
      </c>
      <c r="Q108" s="27">
        <f>Table5[[#This Row],[Likes]]+Table5[[#This Row],[Shares]]+Table5[[#This Row],[Comments]]</f>
        <v>2943</v>
      </c>
    </row>
    <row r="109" spans="1:17" x14ac:dyDescent="0.3">
      <c r="A109" s="1" t="s">
        <v>148</v>
      </c>
      <c r="B109" s="1" t="s">
        <v>23</v>
      </c>
      <c r="C109" s="2">
        <v>45489</v>
      </c>
      <c r="D109" s="1" t="s">
        <v>15</v>
      </c>
      <c r="E109" s="1" t="s">
        <v>77</v>
      </c>
      <c r="F109" s="3">
        <v>1803</v>
      </c>
      <c r="G109" s="3">
        <v>273</v>
      </c>
      <c r="H109" s="3">
        <v>287</v>
      </c>
      <c r="I109" s="3">
        <v>46176</v>
      </c>
      <c r="J109" s="3">
        <v>25488</v>
      </c>
      <c r="K109" s="3">
        <v>141</v>
      </c>
      <c r="L109" s="1" t="s">
        <v>37</v>
      </c>
      <c r="M109" s="1" t="s">
        <v>361</v>
      </c>
      <c r="N109" s="1" t="s">
        <v>17</v>
      </c>
      <c r="O109">
        <f t="shared" si="1"/>
        <v>29</v>
      </c>
      <c r="P109" s="20">
        <f>(Table5[[#This Row],[Likes]]+Table5[[#This Row],[Shares]]+Table5[[#This Row],[Comments]])/Table5[[#This Row],[Impressions]]</f>
        <v>5.1173769923769923E-2</v>
      </c>
      <c r="Q109" s="27">
        <f>Table5[[#This Row],[Likes]]+Table5[[#This Row],[Shares]]+Table5[[#This Row],[Comments]]</f>
        <v>2363</v>
      </c>
    </row>
    <row r="110" spans="1:17" x14ac:dyDescent="0.3">
      <c r="A110" s="1" t="s">
        <v>92</v>
      </c>
      <c r="B110" s="1" t="s">
        <v>29</v>
      </c>
      <c r="C110" s="2">
        <v>45490</v>
      </c>
      <c r="D110" s="1" t="s">
        <v>15</v>
      </c>
      <c r="E110" s="1" t="s">
        <v>77</v>
      </c>
      <c r="F110" s="3">
        <v>3135</v>
      </c>
      <c r="G110" s="3">
        <v>110</v>
      </c>
      <c r="H110" s="3">
        <v>215</v>
      </c>
      <c r="I110" s="3">
        <v>39192</v>
      </c>
      <c r="J110" s="3">
        <v>24744</v>
      </c>
      <c r="K110" s="3">
        <v>177</v>
      </c>
      <c r="L110" s="1" t="s">
        <v>20</v>
      </c>
      <c r="M110" s="1" t="s">
        <v>359</v>
      </c>
      <c r="N110" s="1" t="s">
        <v>21</v>
      </c>
      <c r="O110">
        <f t="shared" si="1"/>
        <v>29</v>
      </c>
      <c r="P110" s="20">
        <f>(Table5[[#This Row],[Likes]]+Table5[[#This Row],[Shares]]+Table5[[#This Row],[Comments]])/Table5[[#This Row],[Impressions]]</f>
        <v>8.8283323127168814E-2</v>
      </c>
      <c r="Q110" s="27">
        <f>Table5[[#This Row],[Likes]]+Table5[[#This Row],[Shares]]+Table5[[#This Row],[Comments]]</f>
        <v>3460</v>
      </c>
    </row>
    <row r="111" spans="1:17" x14ac:dyDescent="0.3">
      <c r="A111" s="1" t="s">
        <v>243</v>
      </c>
      <c r="B111" s="1" t="s">
        <v>23</v>
      </c>
      <c r="C111" s="2">
        <v>45492</v>
      </c>
      <c r="D111" s="1" t="s">
        <v>24</v>
      </c>
      <c r="E111" s="1" t="s">
        <v>32</v>
      </c>
      <c r="F111" s="3">
        <v>3071</v>
      </c>
      <c r="G111" s="3">
        <v>126</v>
      </c>
      <c r="H111" s="3">
        <v>200</v>
      </c>
      <c r="I111" s="3">
        <v>44013</v>
      </c>
      <c r="J111" s="3">
        <v>44679</v>
      </c>
      <c r="K111" s="3">
        <v>118</v>
      </c>
      <c r="L111" s="1" t="s">
        <v>20</v>
      </c>
      <c r="M111" s="1" t="s">
        <v>358</v>
      </c>
      <c r="N111" s="1" t="s">
        <v>17</v>
      </c>
      <c r="O111">
        <f t="shared" si="1"/>
        <v>29</v>
      </c>
      <c r="P111" s="20">
        <f>(Table5[[#This Row],[Likes]]+Table5[[#This Row],[Shares]]+Table5[[#This Row],[Comments]])/Table5[[#This Row],[Impressions]]</f>
        <v>7.7181741758116915E-2</v>
      </c>
      <c r="Q111" s="27">
        <f>Table5[[#This Row],[Likes]]+Table5[[#This Row],[Shares]]+Table5[[#This Row],[Comments]]</f>
        <v>3397</v>
      </c>
    </row>
    <row r="112" spans="1:17" x14ac:dyDescent="0.3">
      <c r="A112" s="1" t="s">
        <v>145</v>
      </c>
      <c r="B112" s="1" t="s">
        <v>29</v>
      </c>
      <c r="C112" s="2">
        <v>45493</v>
      </c>
      <c r="D112" s="1" t="s">
        <v>51</v>
      </c>
      <c r="E112" s="1" t="s">
        <v>30</v>
      </c>
      <c r="F112" s="3">
        <v>4955</v>
      </c>
      <c r="G112" s="3">
        <v>299</v>
      </c>
      <c r="H112" s="3">
        <v>345</v>
      </c>
      <c r="I112" s="3">
        <v>33644</v>
      </c>
      <c r="J112" s="3">
        <v>43547</v>
      </c>
      <c r="K112" s="3">
        <v>194</v>
      </c>
      <c r="L112" s="1" t="s">
        <v>20</v>
      </c>
      <c r="M112" s="1" t="s">
        <v>39</v>
      </c>
      <c r="N112" s="1" t="s">
        <v>52</v>
      </c>
      <c r="O112">
        <f t="shared" si="1"/>
        <v>29</v>
      </c>
      <c r="P112" s="20">
        <f>(Table5[[#This Row],[Likes]]+Table5[[#This Row],[Shares]]+Table5[[#This Row],[Comments]])/Table5[[#This Row],[Impressions]]</f>
        <v>0.16641897515158721</v>
      </c>
      <c r="Q112" s="27">
        <f>Table5[[#This Row],[Likes]]+Table5[[#This Row],[Shares]]+Table5[[#This Row],[Comments]]</f>
        <v>5599</v>
      </c>
    </row>
    <row r="113" spans="1:17" x14ac:dyDescent="0.3">
      <c r="A113" s="1" t="s">
        <v>134</v>
      </c>
      <c r="B113" s="1" t="s">
        <v>14</v>
      </c>
      <c r="C113" s="2">
        <v>45494</v>
      </c>
      <c r="D113" s="1" t="s">
        <v>15</v>
      </c>
      <c r="E113" s="1" t="s">
        <v>16</v>
      </c>
      <c r="F113" s="3">
        <v>3004</v>
      </c>
      <c r="G113" s="3">
        <v>415</v>
      </c>
      <c r="H113" s="3">
        <v>218</v>
      </c>
      <c r="I113" s="3">
        <v>36090</v>
      </c>
      <c r="J113" s="3">
        <v>37073</v>
      </c>
      <c r="K113" s="3">
        <v>181</v>
      </c>
      <c r="L113" s="1" t="s">
        <v>20</v>
      </c>
      <c r="M113" s="1" t="s">
        <v>361</v>
      </c>
      <c r="N113" s="1" t="s">
        <v>21</v>
      </c>
      <c r="O113">
        <f t="shared" si="1"/>
        <v>30</v>
      </c>
      <c r="P113" s="20">
        <f>(Table5[[#This Row],[Likes]]+Table5[[#This Row],[Shares]]+Table5[[#This Row],[Comments]])/Table5[[#This Row],[Impressions]]</f>
        <v>0.10077583818232197</v>
      </c>
      <c r="Q113" s="27">
        <f>Table5[[#This Row],[Likes]]+Table5[[#This Row],[Shares]]+Table5[[#This Row],[Comments]]</f>
        <v>3637</v>
      </c>
    </row>
    <row r="114" spans="1:17" x14ac:dyDescent="0.3">
      <c r="A114" s="1" t="s">
        <v>124</v>
      </c>
      <c r="B114" s="1" t="s">
        <v>23</v>
      </c>
      <c r="C114" s="2">
        <v>45495</v>
      </c>
      <c r="D114" s="1" t="s">
        <v>24</v>
      </c>
      <c r="E114" s="1" t="s">
        <v>27</v>
      </c>
      <c r="F114" s="3">
        <v>3336</v>
      </c>
      <c r="G114" s="3">
        <v>229</v>
      </c>
      <c r="H114" s="3">
        <v>337</v>
      </c>
      <c r="I114" s="3">
        <v>22117</v>
      </c>
      <c r="J114" s="3">
        <v>26205</v>
      </c>
      <c r="K114" s="3">
        <v>160</v>
      </c>
      <c r="L114" s="1" t="s">
        <v>358</v>
      </c>
      <c r="M114" s="1" t="s">
        <v>37</v>
      </c>
      <c r="N114" s="1" t="s">
        <v>17</v>
      </c>
      <c r="O114">
        <f t="shared" si="1"/>
        <v>30</v>
      </c>
      <c r="P114" s="20">
        <f>(Table5[[#This Row],[Likes]]+Table5[[#This Row],[Shares]]+Table5[[#This Row],[Comments]])/Table5[[#This Row],[Impressions]]</f>
        <v>0.17642537414658407</v>
      </c>
      <c r="Q114" s="27">
        <f>Table5[[#This Row],[Likes]]+Table5[[#This Row],[Shares]]+Table5[[#This Row],[Comments]]</f>
        <v>3902</v>
      </c>
    </row>
    <row r="115" spans="1:17" x14ac:dyDescent="0.3">
      <c r="A115" s="1" t="s">
        <v>217</v>
      </c>
      <c r="B115" s="1" t="s">
        <v>23</v>
      </c>
      <c r="C115" s="2">
        <v>45496</v>
      </c>
      <c r="D115" s="1" t="s">
        <v>15</v>
      </c>
      <c r="E115" s="1" t="s">
        <v>77</v>
      </c>
      <c r="F115" s="3">
        <v>3204</v>
      </c>
      <c r="G115" s="3">
        <v>398</v>
      </c>
      <c r="H115" s="3">
        <v>85</v>
      </c>
      <c r="I115" s="3">
        <v>22020</v>
      </c>
      <c r="J115" s="3">
        <v>58353</v>
      </c>
      <c r="K115" s="3">
        <v>286</v>
      </c>
      <c r="L115" s="1" t="s">
        <v>39</v>
      </c>
      <c r="M115" s="1" t="s">
        <v>361</v>
      </c>
      <c r="N115" s="1" t="s">
        <v>21</v>
      </c>
      <c r="O115">
        <f t="shared" si="1"/>
        <v>30</v>
      </c>
      <c r="P115" s="20">
        <f>(Table5[[#This Row],[Likes]]+Table5[[#This Row],[Shares]]+Table5[[#This Row],[Comments]])/Table5[[#This Row],[Impressions]]</f>
        <v>0.16743869209809265</v>
      </c>
      <c r="Q115" s="27">
        <f>Table5[[#This Row],[Likes]]+Table5[[#This Row],[Shares]]+Table5[[#This Row],[Comments]]</f>
        <v>3687</v>
      </c>
    </row>
    <row r="116" spans="1:17" x14ac:dyDescent="0.3">
      <c r="A116" s="1" t="s">
        <v>118</v>
      </c>
      <c r="B116" s="1" t="s">
        <v>23</v>
      </c>
      <c r="C116" s="2">
        <v>45507</v>
      </c>
      <c r="D116" s="1" t="s">
        <v>15</v>
      </c>
      <c r="E116" s="1" t="s">
        <v>45</v>
      </c>
      <c r="F116" s="3">
        <v>4247</v>
      </c>
      <c r="G116" s="3">
        <v>390</v>
      </c>
      <c r="H116" s="3">
        <v>213</v>
      </c>
      <c r="I116" s="3">
        <v>29785</v>
      </c>
      <c r="J116" s="3">
        <v>57768</v>
      </c>
      <c r="K116" s="3">
        <v>122</v>
      </c>
      <c r="L116" s="1" t="s">
        <v>37</v>
      </c>
      <c r="M116" s="1" t="s">
        <v>361</v>
      </c>
      <c r="N116" s="1" t="s">
        <v>17</v>
      </c>
      <c r="O116">
        <f t="shared" si="1"/>
        <v>31</v>
      </c>
      <c r="P116" s="20">
        <f>(Table5[[#This Row],[Likes]]+Table5[[#This Row],[Shares]]+Table5[[#This Row],[Comments]])/Table5[[#This Row],[Impressions]]</f>
        <v>0.16283364109451065</v>
      </c>
      <c r="Q116" s="27">
        <f>Table5[[#This Row],[Likes]]+Table5[[#This Row],[Shares]]+Table5[[#This Row],[Comments]]</f>
        <v>4850</v>
      </c>
    </row>
    <row r="117" spans="1:17" x14ac:dyDescent="0.3">
      <c r="A117" s="1" t="s">
        <v>287</v>
      </c>
      <c r="B117" s="1" t="s">
        <v>29</v>
      </c>
      <c r="C117" s="2">
        <v>45512</v>
      </c>
      <c r="D117" s="1" t="s">
        <v>15</v>
      </c>
      <c r="E117" s="1" t="s">
        <v>43</v>
      </c>
      <c r="F117" s="3">
        <v>1994</v>
      </c>
      <c r="G117" s="3">
        <v>197</v>
      </c>
      <c r="H117" s="3">
        <v>290</v>
      </c>
      <c r="I117" s="3">
        <v>49500</v>
      </c>
      <c r="J117" s="3">
        <v>23343</v>
      </c>
      <c r="K117" s="3">
        <v>160</v>
      </c>
      <c r="L117" s="1" t="s">
        <v>20</v>
      </c>
      <c r="M117" s="1" t="s">
        <v>359</v>
      </c>
      <c r="N117" s="1" t="s">
        <v>21</v>
      </c>
      <c r="O117">
        <f t="shared" si="1"/>
        <v>32</v>
      </c>
      <c r="P117" s="20">
        <f>(Table5[[#This Row],[Likes]]+Table5[[#This Row],[Shares]]+Table5[[#This Row],[Comments]])/Table5[[#This Row],[Impressions]]</f>
        <v>5.0121212121212122E-2</v>
      </c>
      <c r="Q117" s="27">
        <f>Table5[[#This Row],[Likes]]+Table5[[#This Row],[Shares]]+Table5[[#This Row],[Comments]]</f>
        <v>2481</v>
      </c>
    </row>
    <row r="118" spans="1:17" x14ac:dyDescent="0.3">
      <c r="A118" s="1" t="s">
        <v>197</v>
      </c>
      <c r="B118" s="1" t="s">
        <v>29</v>
      </c>
      <c r="C118" s="2">
        <v>45513</v>
      </c>
      <c r="D118" s="1" t="s">
        <v>51</v>
      </c>
      <c r="E118" s="1" t="s">
        <v>43</v>
      </c>
      <c r="F118" s="3">
        <v>3414</v>
      </c>
      <c r="G118" s="3">
        <v>154</v>
      </c>
      <c r="H118" s="3">
        <v>204</v>
      </c>
      <c r="I118" s="3">
        <v>34146</v>
      </c>
      <c r="J118" s="3">
        <v>44633</v>
      </c>
      <c r="K118" s="3">
        <v>256</v>
      </c>
      <c r="L118" s="1" t="s">
        <v>20</v>
      </c>
      <c r="M118" s="1" t="s">
        <v>39</v>
      </c>
      <c r="N118" s="1" t="s">
        <v>52</v>
      </c>
      <c r="O118">
        <f t="shared" si="1"/>
        <v>32</v>
      </c>
      <c r="P118" s="20">
        <f>(Table5[[#This Row],[Likes]]+Table5[[#This Row],[Shares]]+Table5[[#This Row],[Comments]])/Table5[[#This Row],[Impressions]]</f>
        <v>0.11046681895390383</v>
      </c>
      <c r="Q118" s="27">
        <f>Table5[[#This Row],[Likes]]+Table5[[#This Row],[Shares]]+Table5[[#This Row],[Comments]]</f>
        <v>3772</v>
      </c>
    </row>
    <row r="119" spans="1:17" x14ac:dyDescent="0.3">
      <c r="A119" s="1" t="s">
        <v>322</v>
      </c>
      <c r="B119" s="1" t="s">
        <v>23</v>
      </c>
      <c r="C119" s="2">
        <v>45513</v>
      </c>
      <c r="D119" s="1" t="s">
        <v>24</v>
      </c>
      <c r="E119" s="1" t="s">
        <v>43</v>
      </c>
      <c r="F119" s="3">
        <v>4877</v>
      </c>
      <c r="G119" s="3">
        <v>442</v>
      </c>
      <c r="H119" s="3">
        <v>236</v>
      </c>
      <c r="I119" s="3">
        <v>52673</v>
      </c>
      <c r="J119" s="3">
        <v>48241</v>
      </c>
      <c r="K119" s="3">
        <v>114</v>
      </c>
      <c r="L119" s="1" t="s">
        <v>20</v>
      </c>
      <c r="M119" s="1" t="s">
        <v>358</v>
      </c>
      <c r="N119" s="1" t="s">
        <v>17</v>
      </c>
      <c r="O119">
        <f t="shared" si="1"/>
        <v>32</v>
      </c>
      <c r="P119" s="20">
        <f>(Table5[[#This Row],[Likes]]+Table5[[#This Row],[Shares]]+Table5[[#This Row],[Comments]])/Table5[[#This Row],[Impressions]]</f>
        <v>0.10546200140489435</v>
      </c>
      <c r="Q119" s="27">
        <f>Table5[[#This Row],[Likes]]+Table5[[#This Row],[Shares]]+Table5[[#This Row],[Comments]]</f>
        <v>5555</v>
      </c>
    </row>
    <row r="120" spans="1:17" x14ac:dyDescent="0.3">
      <c r="A120" s="1" t="s">
        <v>93</v>
      </c>
      <c r="B120" s="1" t="s">
        <v>29</v>
      </c>
      <c r="C120" s="2">
        <v>45514</v>
      </c>
      <c r="D120" s="1" t="s">
        <v>15</v>
      </c>
      <c r="E120" s="1" t="s">
        <v>43</v>
      </c>
      <c r="F120" s="3">
        <v>1105</v>
      </c>
      <c r="G120" s="3">
        <v>181</v>
      </c>
      <c r="H120" s="3">
        <v>55</v>
      </c>
      <c r="I120" s="3">
        <v>53581</v>
      </c>
      <c r="J120" s="3">
        <v>74048</v>
      </c>
      <c r="K120" s="3">
        <v>220</v>
      </c>
      <c r="L120" s="1" t="s">
        <v>20</v>
      </c>
      <c r="M120" s="1" t="s">
        <v>359</v>
      </c>
      <c r="N120" s="1" t="s">
        <v>21</v>
      </c>
      <c r="O120">
        <f t="shared" si="1"/>
        <v>32</v>
      </c>
      <c r="P120" s="20">
        <f>(Table5[[#This Row],[Likes]]+Table5[[#This Row],[Shares]]+Table5[[#This Row],[Comments]])/Table5[[#This Row],[Impressions]]</f>
        <v>2.50275284149232E-2</v>
      </c>
      <c r="Q120" s="27">
        <f>Table5[[#This Row],[Likes]]+Table5[[#This Row],[Shares]]+Table5[[#This Row],[Comments]]</f>
        <v>1341</v>
      </c>
    </row>
    <row r="121" spans="1:17" x14ac:dyDescent="0.3">
      <c r="A121" s="1" t="s">
        <v>87</v>
      </c>
      <c r="B121" s="1" t="s">
        <v>23</v>
      </c>
      <c r="C121" s="2">
        <v>45516</v>
      </c>
      <c r="D121" s="1" t="s">
        <v>24</v>
      </c>
      <c r="E121" s="1" t="s">
        <v>32</v>
      </c>
      <c r="F121" s="3">
        <v>2842</v>
      </c>
      <c r="G121" s="3">
        <v>213</v>
      </c>
      <c r="H121" s="3">
        <v>331</v>
      </c>
      <c r="I121" s="3">
        <v>57660</v>
      </c>
      <c r="J121" s="3">
        <v>68606</v>
      </c>
      <c r="K121" s="3">
        <v>87</v>
      </c>
      <c r="L121" s="1" t="s">
        <v>358</v>
      </c>
      <c r="M121" s="1" t="s">
        <v>37</v>
      </c>
      <c r="N121" s="1" t="s">
        <v>17</v>
      </c>
      <c r="O121">
        <f t="shared" si="1"/>
        <v>33</v>
      </c>
      <c r="P121" s="20">
        <f>(Table5[[#This Row],[Likes]]+Table5[[#This Row],[Shares]]+Table5[[#This Row],[Comments]])/Table5[[#This Row],[Impressions]]</f>
        <v>5.8723551855705859E-2</v>
      </c>
      <c r="Q121" s="27">
        <f>Table5[[#This Row],[Likes]]+Table5[[#This Row],[Shares]]+Table5[[#This Row],[Comments]]</f>
        <v>3386</v>
      </c>
    </row>
    <row r="122" spans="1:17" x14ac:dyDescent="0.3">
      <c r="A122" s="1" t="s">
        <v>185</v>
      </c>
      <c r="B122" s="1" t="s">
        <v>14</v>
      </c>
      <c r="C122" s="2">
        <v>45516</v>
      </c>
      <c r="D122" s="1" t="s">
        <v>24</v>
      </c>
      <c r="E122" s="1" t="s">
        <v>16</v>
      </c>
      <c r="F122" s="3">
        <v>2962</v>
      </c>
      <c r="G122" s="3">
        <v>400</v>
      </c>
      <c r="H122" s="3">
        <v>280</v>
      </c>
      <c r="I122" s="3">
        <v>52508</v>
      </c>
      <c r="J122" s="3">
        <v>58329</v>
      </c>
      <c r="K122" s="3">
        <v>219</v>
      </c>
      <c r="L122" s="1" t="s">
        <v>37</v>
      </c>
      <c r="M122" s="1" t="s">
        <v>361</v>
      </c>
      <c r="N122" s="1" t="s">
        <v>49</v>
      </c>
      <c r="O122">
        <f t="shared" si="1"/>
        <v>33</v>
      </c>
      <c r="P122" s="20">
        <f>(Table5[[#This Row],[Likes]]+Table5[[#This Row],[Shares]]+Table5[[#This Row],[Comments]])/Table5[[#This Row],[Impressions]]</f>
        <v>6.9360859297630834E-2</v>
      </c>
      <c r="Q122" s="27">
        <f>Table5[[#This Row],[Likes]]+Table5[[#This Row],[Shares]]+Table5[[#This Row],[Comments]]</f>
        <v>3642</v>
      </c>
    </row>
    <row r="123" spans="1:17" x14ac:dyDescent="0.3">
      <c r="A123" s="1" t="s">
        <v>324</v>
      </c>
      <c r="B123" s="1" t="s">
        <v>23</v>
      </c>
      <c r="C123" s="2">
        <v>45517</v>
      </c>
      <c r="D123" s="1" t="s">
        <v>15</v>
      </c>
      <c r="E123" s="1" t="s">
        <v>19</v>
      </c>
      <c r="F123" s="3">
        <v>3418</v>
      </c>
      <c r="G123" s="3">
        <v>107</v>
      </c>
      <c r="H123" s="3">
        <v>221</v>
      </c>
      <c r="I123" s="3">
        <v>23927</v>
      </c>
      <c r="J123" s="3">
        <v>26182</v>
      </c>
      <c r="K123" s="3">
        <v>155</v>
      </c>
      <c r="L123" s="1" t="s">
        <v>39</v>
      </c>
      <c r="M123" s="1" t="s">
        <v>361</v>
      </c>
      <c r="N123" s="1" t="s">
        <v>21</v>
      </c>
      <c r="O123">
        <f t="shared" si="1"/>
        <v>33</v>
      </c>
      <c r="P123" s="20">
        <f>(Table5[[#This Row],[Likes]]+Table5[[#This Row],[Shares]]+Table5[[#This Row],[Comments]])/Table5[[#This Row],[Impressions]]</f>
        <v>0.1565595352530614</v>
      </c>
      <c r="Q123" s="27">
        <f>Table5[[#This Row],[Likes]]+Table5[[#This Row],[Shares]]+Table5[[#This Row],[Comments]]</f>
        <v>3746</v>
      </c>
    </row>
    <row r="124" spans="1:17" x14ac:dyDescent="0.3">
      <c r="A124" s="1" t="s">
        <v>119</v>
      </c>
      <c r="B124" s="1" t="s">
        <v>14</v>
      </c>
      <c r="C124" s="2">
        <v>45522</v>
      </c>
      <c r="D124" s="1" t="s">
        <v>15</v>
      </c>
      <c r="E124" s="1" t="s">
        <v>19</v>
      </c>
      <c r="F124" s="3">
        <v>2965</v>
      </c>
      <c r="G124" s="3">
        <v>328</v>
      </c>
      <c r="H124" s="3">
        <v>171</v>
      </c>
      <c r="I124" s="3">
        <v>57685</v>
      </c>
      <c r="J124" s="3">
        <v>67536</v>
      </c>
      <c r="K124" s="3">
        <v>264</v>
      </c>
      <c r="L124" s="1" t="s">
        <v>39</v>
      </c>
      <c r="M124" s="1" t="s">
        <v>37</v>
      </c>
      <c r="N124" s="1" t="s">
        <v>17</v>
      </c>
      <c r="O124">
        <f t="shared" si="1"/>
        <v>34</v>
      </c>
      <c r="P124" s="20">
        <f>(Table5[[#This Row],[Likes]]+Table5[[#This Row],[Shares]]+Table5[[#This Row],[Comments]])/Table5[[#This Row],[Impressions]]</f>
        <v>6.0050273034584378E-2</v>
      </c>
      <c r="Q124" s="27">
        <f>Table5[[#This Row],[Likes]]+Table5[[#This Row],[Shares]]+Table5[[#This Row],[Comments]]</f>
        <v>3464</v>
      </c>
    </row>
    <row r="125" spans="1:17" x14ac:dyDescent="0.3">
      <c r="A125" s="1" t="s">
        <v>240</v>
      </c>
      <c r="B125" s="1" t="s">
        <v>23</v>
      </c>
      <c r="C125" s="2">
        <v>45525</v>
      </c>
      <c r="D125" s="1" t="s">
        <v>24</v>
      </c>
      <c r="E125" s="1" t="s">
        <v>19</v>
      </c>
      <c r="F125" s="3">
        <v>3989</v>
      </c>
      <c r="G125" s="3">
        <v>476</v>
      </c>
      <c r="H125" s="3">
        <v>128</v>
      </c>
      <c r="I125" s="3">
        <v>57569</v>
      </c>
      <c r="J125" s="3">
        <v>40193</v>
      </c>
      <c r="K125" s="3">
        <v>222</v>
      </c>
      <c r="L125" s="1" t="s">
        <v>20</v>
      </c>
      <c r="M125" s="1" t="s">
        <v>358</v>
      </c>
      <c r="N125" s="1" t="s">
        <v>17</v>
      </c>
      <c r="O125">
        <f t="shared" si="1"/>
        <v>34</v>
      </c>
      <c r="P125" s="20">
        <f>(Table5[[#This Row],[Likes]]+Table5[[#This Row],[Shares]]+Table5[[#This Row],[Comments]])/Table5[[#This Row],[Impressions]]</f>
        <v>7.9782521843353188E-2</v>
      </c>
      <c r="Q125" s="27">
        <f>Table5[[#This Row],[Likes]]+Table5[[#This Row],[Shares]]+Table5[[#This Row],[Comments]]</f>
        <v>4593</v>
      </c>
    </row>
    <row r="126" spans="1:17" x14ac:dyDescent="0.3">
      <c r="A126" s="1" t="s">
        <v>116</v>
      </c>
      <c r="B126" s="1" t="s">
        <v>14</v>
      </c>
      <c r="C126" s="2">
        <v>45530</v>
      </c>
      <c r="D126" s="1" t="s">
        <v>15</v>
      </c>
      <c r="E126" s="1" t="s">
        <v>45</v>
      </c>
      <c r="F126" s="3">
        <v>2102</v>
      </c>
      <c r="G126" s="3">
        <v>181</v>
      </c>
      <c r="H126" s="3">
        <v>306</v>
      </c>
      <c r="I126" s="3">
        <v>43650</v>
      </c>
      <c r="J126" s="3">
        <v>50079</v>
      </c>
      <c r="K126" s="3">
        <v>182</v>
      </c>
      <c r="L126" s="1" t="s">
        <v>20</v>
      </c>
      <c r="M126" s="1" t="s">
        <v>361</v>
      </c>
      <c r="N126" s="1" t="s">
        <v>21</v>
      </c>
      <c r="O126">
        <f t="shared" si="1"/>
        <v>35</v>
      </c>
      <c r="P126" s="20">
        <f>(Table5[[#This Row],[Likes]]+Table5[[#This Row],[Shares]]+Table5[[#This Row],[Comments]])/Table5[[#This Row],[Impressions]]</f>
        <v>5.9312714776632303E-2</v>
      </c>
      <c r="Q126" s="27">
        <f>Table5[[#This Row],[Likes]]+Table5[[#This Row],[Shares]]+Table5[[#This Row],[Comments]]</f>
        <v>2589</v>
      </c>
    </row>
    <row r="127" spans="1:17" x14ac:dyDescent="0.3">
      <c r="A127" s="1" t="s">
        <v>174</v>
      </c>
      <c r="B127" s="1" t="s">
        <v>23</v>
      </c>
      <c r="C127" s="2">
        <v>45531</v>
      </c>
      <c r="D127" s="1" t="s">
        <v>24</v>
      </c>
      <c r="E127" s="1" t="s">
        <v>25</v>
      </c>
      <c r="F127" s="3">
        <v>1856</v>
      </c>
      <c r="G127" s="3">
        <v>357</v>
      </c>
      <c r="H127" s="3">
        <v>348</v>
      </c>
      <c r="I127" s="3">
        <v>29428</v>
      </c>
      <c r="J127" s="3">
        <v>70206</v>
      </c>
      <c r="K127" s="3">
        <v>236</v>
      </c>
      <c r="L127" s="1" t="s">
        <v>358</v>
      </c>
      <c r="M127" s="1" t="s">
        <v>37</v>
      </c>
      <c r="N127" s="1" t="s">
        <v>17</v>
      </c>
      <c r="O127">
        <f t="shared" si="1"/>
        <v>35</v>
      </c>
      <c r="P127" s="20">
        <f>(Table5[[#This Row],[Likes]]+Table5[[#This Row],[Shares]]+Table5[[#This Row],[Comments]])/Table5[[#This Row],[Impressions]]</f>
        <v>8.702596166915863E-2</v>
      </c>
      <c r="Q127" s="27">
        <f>Table5[[#This Row],[Likes]]+Table5[[#This Row],[Shares]]+Table5[[#This Row],[Comments]]</f>
        <v>2561</v>
      </c>
    </row>
    <row r="128" spans="1:17" x14ac:dyDescent="0.3">
      <c r="A128" s="1" t="s">
        <v>317</v>
      </c>
      <c r="B128" s="1" t="s">
        <v>14</v>
      </c>
      <c r="C128" s="2">
        <v>45531</v>
      </c>
      <c r="D128" s="1" t="s">
        <v>15</v>
      </c>
      <c r="E128" s="1" t="s">
        <v>30</v>
      </c>
      <c r="F128" s="3">
        <v>4197</v>
      </c>
      <c r="G128" s="3">
        <v>359</v>
      </c>
      <c r="H128" s="3">
        <v>280</v>
      </c>
      <c r="I128" s="3">
        <v>56048</v>
      </c>
      <c r="J128" s="3">
        <v>70930</v>
      </c>
      <c r="K128" s="3">
        <v>295</v>
      </c>
      <c r="L128" s="1" t="s">
        <v>20</v>
      </c>
      <c r="M128" s="1" t="s">
        <v>361</v>
      </c>
      <c r="N128" s="1" t="s">
        <v>21</v>
      </c>
      <c r="O128">
        <f t="shared" si="1"/>
        <v>35</v>
      </c>
      <c r="P128" s="20">
        <f>(Table5[[#This Row],[Likes]]+Table5[[#This Row],[Shares]]+Table5[[#This Row],[Comments]])/Table5[[#This Row],[Impressions]]</f>
        <v>8.628318584070796E-2</v>
      </c>
      <c r="Q128" s="27">
        <f>Table5[[#This Row],[Likes]]+Table5[[#This Row],[Shares]]+Table5[[#This Row],[Comments]]</f>
        <v>4836</v>
      </c>
    </row>
    <row r="129" spans="1:17" x14ac:dyDescent="0.3">
      <c r="A129" s="1" t="s">
        <v>83</v>
      </c>
      <c r="B129" s="1" t="s">
        <v>23</v>
      </c>
      <c r="C129" s="2">
        <v>45533</v>
      </c>
      <c r="D129" s="1" t="s">
        <v>24</v>
      </c>
      <c r="E129" s="1" t="s">
        <v>34</v>
      </c>
      <c r="F129" s="3">
        <v>4276</v>
      </c>
      <c r="G129" s="3">
        <v>227</v>
      </c>
      <c r="H129" s="3">
        <v>223</v>
      </c>
      <c r="I129" s="3">
        <v>43443</v>
      </c>
      <c r="J129" s="3">
        <v>41005</v>
      </c>
      <c r="K129" s="3">
        <v>191</v>
      </c>
      <c r="L129" s="1" t="s">
        <v>20</v>
      </c>
      <c r="M129" s="1" t="s">
        <v>358</v>
      </c>
      <c r="N129" s="1" t="s">
        <v>17</v>
      </c>
      <c r="O129">
        <f t="shared" si="1"/>
        <v>35</v>
      </c>
      <c r="P129" s="20">
        <f>(Table5[[#This Row],[Likes]]+Table5[[#This Row],[Shares]]+Table5[[#This Row],[Comments]])/Table5[[#This Row],[Impressions]]</f>
        <v>0.1087862256289851</v>
      </c>
      <c r="Q129" s="27">
        <f>Table5[[#This Row],[Likes]]+Table5[[#This Row],[Shares]]+Table5[[#This Row],[Comments]]</f>
        <v>4726</v>
      </c>
    </row>
    <row r="130" spans="1:17" x14ac:dyDescent="0.3">
      <c r="A130" s="1" t="s">
        <v>274</v>
      </c>
      <c r="B130" s="1" t="s">
        <v>29</v>
      </c>
      <c r="C130" s="2">
        <v>45533</v>
      </c>
      <c r="D130" s="1" t="s">
        <v>15</v>
      </c>
      <c r="E130" s="1" t="s">
        <v>27</v>
      </c>
      <c r="F130" s="3">
        <v>4774</v>
      </c>
      <c r="G130" s="3">
        <v>389</v>
      </c>
      <c r="H130" s="3">
        <v>358</v>
      </c>
      <c r="I130" s="3">
        <v>52346</v>
      </c>
      <c r="J130" s="3">
        <v>30518</v>
      </c>
      <c r="K130" s="3">
        <v>277</v>
      </c>
      <c r="L130" s="1" t="s">
        <v>20</v>
      </c>
      <c r="M130" s="1" t="s">
        <v>359</v>
      </c>
      <c r="N130" s="1" t="s">
        <v>21</v>
      </c>
      <c r="O130">
        <f t="shared" ref="O130:O193" si="2">WEEKNUM(C130)</f>
        <v>35</v>
      </c>
      <c r="P130" s="20">
        <f>(Table5[[#This Row],[Likes]]+Table5[[#This Row],[Shares]]+Table5[[#This Row],[Comments]])/Table5[[#This Row],[Impressions]]</f>
        <v>0.10547128720437092</v>
      </c>
      <c r="Q130" s="27">
        <f>Table5[[#This Row],[Likes]]+Table5[[#This Row],[Shares]]+Table5[[#This Row],[Comments]]</f>
        <v>5521</v>
      </c>
    </row>
    <row r="131" spans="1:17" x14ac:dyDescent="0.3">
      <c r="A131" s="1" t="s">
        <v>205</v>
      </c>
      <c r="B131" s="1" t="s">
        <v>14</v>
      </c>
      <c r="C131" s="2">
        <v>45536</v>
      </c>
      <c r="D131" s="1" t="s">
        <v>24</v>
      </c>
      <c r="E131" s="1" t="s">
        <v>27</v>
      </c>
      <c r="F131" s="3">
        <v>2335</v>
      </c>
      <c r="G131" s="3">
        <v>150</v>
      </c>
      <c r="H131" s="3">
        <v>75</v>
      </c>
      <c r="I131" s="3">
        <v>26114</v>
      </c>
      <c r="J131" s="3">
        <v>57549</v>
      </c>
      <c r="K131" s="3">
        <v>135</v>
      </c>
      <c r="L131" s="1" t="s">
        <v>37</v>
      </c>
      <c r="M131" s="1" t="s">
        <v>361</v>
      </c>
      <c r="N131" s="1" t="s">
        <v>49</v>
      </c>
      <c r="O131">
        <f t="shared" si="2"/>
        <v>36</v>
      </c>
      <c r="P131" s="20">
        <f>(Table5[[#This Row],[Likes]]+Table5[[#This Row],[Shares]]+Table5[[#This Row],[Comments]])/Table5[[#This Row],[Impressions]]</f>
        <v>9.8031707130274953E-2</v>
      </c>
      <c r="Q131" s="27">
        <f>Table5[[#This Row],[Likes]]+Table5[[#This Row],[Shares]]+Table5[[#This Row],[Comments]]</f>
        <v>2560</v>
      </c>
    </row>
    <row r="132" spans="1:17" x14ac:dyDescent="0.3">
      <c r="A132" s="1" t="s">
        <v>190</v>
      </c>
      <c r="B132" s="1" t="s">
        <v>29</v>
      </c>
      <c r="C132" s="2">
        <v>45538</v>
      </c>
      <c r="D132" s="1" t="s">
        <v>51</v>
      </c>
      <c r="E132" s="1" t="s">
        <v>32</v>
      </c>
      <c r="F132" s="3">
        <v>1437</v>
      </c>
      <c r="G132" s="3">
        <v>494</v>
      </c>
      <c r="H132" s="3">
        <v>129</v>
      </c>
      <c r="I132" s="3">
        <v>53048</v>
      </c>
      <c r="J132" s="3">
        <v>44090</v>
      </c>
      <c r="K132" s="3">
        <v>230</v>
      </c>
      <c r="L132" s="1" t="s">
        <v>20</v>
      </c>
      <c r="M132" s="1" t="s">
        <v>39</v>
      </c>
      <c r="N132" s="1" t="s">
        <v>52</v>
      </c>
      <c r="O132">
        <f t="shared" si="2"/>
        <v>36</v>
      </c>
      <c r="P132" s="20">
        <f>(Table5[[#This Row],[Likes]]+Table5[[#This Row],[Shares]]+Table5[[#This Row],[Comments]])/Table5[[#This Row],[Impressions]]</f>
        <v>3.8832755240536872E-2</v>
      </c>
      <c r="Q132" s="27">
        <f>Table5[[#This Row],[Likes]]+Table5[[#This Row],[Shares]]+Table5[[#This Row],[Comments]]</f>
        <v>2060</v>
      </c>
    </row>
    <row r="133" spans="1:17" x14ac:dyDescent="0.3">
      <c r="A133" s="1" t="s">
        <v>86</v>
      </c>
      <c r="B133" s="1" t="s">
        <v>23</v>
      </c>
      <c r="C133" s="2">
        <v>45539</v>
      </c>
      <c r="D133" s="1" t="s">
        <v>24</v>
      </c>
      <c r="E133" s="1" t="s">
        <v>25</v>
      </c>
      <c r="F133" s="3">
        <v>2613</v>
      </c>
      <c r="G133" s="3">
        <v>455</v>
      </c>
      <c r="H133" s="3">
        <v>228</v>
      </c>
      <c r="I133" s="3">
        <v>21645</v>
      </c>
      <c r="J133" s="3">
        <v>61334</v>
      </c>
      <c r="K133" s="3">
        <v>261</v>
      </c>
      <c r="L133" s="1" t="s">
        <v>20</v>
      </c>
      <c r="M133" s="1" t="s">
        <v>358</v>
      </c>
      <c r="N133" s="1" t="s">
        <v>17</v>
      </c>
      <c r="O133">
        <f t="shared" si="2"/>
        <v>36</v>
      </c>
      <c r="P133" s="20">
        <f>(Table5[[#This Row],[Likes]]+Table5[[#This Row],[Shares]]+Table5[[#This Row],[Comments]])/Table5[[#This Row],[Impressions]]</f>
        <v>0.15227535227535227</v>
      </c>
      <c r="Q133" s="27">
        <f>Table5[[#This Row],[Likes]]+Table5[[#This Row],[Shares]]+Table5[[#This Row],[Comments]]</f>
        <v>3296</v>
      </c>
    </row>
    <row r="134" spans="1:17" x14ac:dyDescent="0.3">
      <c r="A134" s="1" t="s">
        <v>78</v>
      </c>
      <c r="B134" s="1" t="s">
        <v>14</v>
      </c>
      <c r="C134" s="2">
        <v>45541</v>
      </c>
      <c r="D134" s="1" t="s">
        <v>15</v>
      </c>
      <c r="E134" s="1" t="s">
        <v>25</v>
      </c>
      <c r="F134" s="3">
        <v>1452</v>
      </c>
      <c r="G134" s="3">
        <v>281</v>
      </c>
      <c r="H134" s="3">
        <v>326</v>
      </c>
      <c r="I134" s="3">
        <v>51556</v>
      </c>
      <c r="J134" s="3">
        <v>62599</v>
      </c>
      <c r="K134" s="3">
        <v>290</v>
      </c>
      <c r="L134" s="1" t="s">
        <v>20</v>
      </c>
      <c r="M134" s="1" t="s">
        <v>361</v>
      </c>
      <c r="N134" s="1" t="s">
        <v>21</v>
      </c>
      <c r="O134">
        <f t="shared" si="2"/>
        <v>36</v>
      </c>
      <c r="P134" s="20">
        <f>(Table5[[#This Row],[Likes]]+Table5[[#This Row],[Shares]]+Table5[[#This Row],[Comments]])/Table5[[#This Row],[Impressions]]</f>
        <v>3.9937155714174881E-2</v>
      </c>
      <c r="Q134" s="27">
        <f>Table5[[#This Row],[Likes]]+Table5[[#This Row],[Shares]]+Table5[[#This Row],[Comments]]</f>
        <v>2059</v>
      </c>
    </row>
    <row r="135" spans="1:17" x14ac:dyDescent="0.3">
      <c r="A135" s="1" t="s">
        <v>142</v>
      </c>
      <c r="B135" s="1" t="s">
        <v>29</v>
      </c>
      <c r="C135" s="2">
        <v>45542</v>
      </c>
      <c r="D135" s="1" t="s">
        <v>51</v>
      </c>
      <c r="E135" s="1" t="s">
        <v>30</v>
      </c>
      <c r="F135" s="3">
        <v>3882</v>
      </c>
      <c r="G135" s="3">
        <v>342</v>
      </c>
      <c r="H135" s="3">
        <v>374</v>
      </c>
      <c r="I135" s="3">
        <v>41991</v>
      </c>
      <c r="J135" s="3">
        <v>48554</v>
      </c>
      <c r="K135" s="3">
        <v>118</v>
      </c>
      <c r="L135" s="1" t="s">
        <v>20</v>
      </c>
      <c r="M135" s="1" t="s">
        <v>39</v>
      </c>
      <c r="N135" s="1" t="s">
        <v>52</v>
      </c>
      <c r="O135">
        <f t="shared" si="2"/>
        <v>36</v>
      </c>
      <c r="P135" s="20">
        <f>(Table5[[#This Row],[Likes]]+Table5[[#This Row],[Shares]]+Table5[[#This Row],[Comments]])/Table5[[#This Row],[Impressions]]</f>
        <v>0.10949965468790931</v>
      </c>
      <c r="Q135" s="27">
        <f>Table5[[#This Row],[Likes]]+Table5[[#This Row],[Shares]]+Table5[[#This Row],[Comments]]</f>
        <v>4598</v>
      </c>
    </row>
    <row r="136" spans="1:17" x14ac:dyDescent="0.3">
      <c r="A136" s="1" t="s">
        <v>269</v>
      </c>
      <c r="B136" s="1" t="s">
        <v>29</v>
      </c>
      <c r="C136" s="2">
        <v>45542</v>
      </c>
      <c r="D136" s="1" t="s">
        <v>15</v>
      </c>
      <c r="E136" s="1" t="s">
        <v>45</v>
      </c>
      <c r="F136" s="3">
        <v>2101</v>
      </c>
      <c r="G136" s="3">
        <v>411</v>
      </c>
      <c r="H136" s="3">
        <v>190</v>
      </c>
      <c r="I136" s="3">
        <v>41791</v>
      </c>
      <c r="J136" s="3">
        <v>57090</v>
      </c>
      <c r="K136" s="3">
        <v>172</v>
      </c>
      <c r="L136" s="1" t="s">
        <v>20</v>
      </c>
      <c r="M136" s="1" t="s">
        <v>359</v>
      </c>
      <c r="N136" s="1" t="s">
        <v>21</v>
      </c>
      <c r="O136">
        <f t="shared" si="2"/>
        <v>36</v>
      </c>
      <c r="P136" s="20">
        <f>(Table5[[#This Row],[Likes]]+Table5[[#This Row],[Shares]]+Table5[[#This Row],[Comments]])/Table5[[#This Row],[Impressions]]</f>
        <v>6.4655069273288512E-2</v>
      </c>
      <c r="Q136" s="27">
        <f>Table5[[#This Row],[Likes]]+Table5[[#This Row],[Shares]]+Table5[[#This Row],[Comments]]</f>
        <v>2702</v>
      </c>
    </row>
    <row r="137" spans="1:17" x14ac:dyDescent="0.3">
      <c r="A137" s="1" t="s">
        <v>147</v>
      </c>
      <c r="B137" s="1" t="s">
        <v>14</v>
      </c>
      <c r="C137" s="2">
        <v>45544</v>
      </c>
      <c r="D137" s="1" t="s">
        <v>15</v>
      </c>
      <c r="E137" s="1" t="s">
        <v>25</v>
      </c>
      <c r="F137" s="3">
        <v>1616</v>
      </c>
      <c r="G137" s="3">
        <v>360</v>
      </c>
      <c r="H137" s="3">
        <v>180</v>
      </c>
      <c r="I137" s="3">
        <v>54342</v>
      </c>
      <c r="J137" s="3">
        <v>18796</v>
      </c>
      <c r="K137" s="3">
        <v>282</v>
      </c>
      <c r="L137" s="1" t="s">
        <v>39</v>
      </c>
      <c r="M137" s="1" t="s">
        <v>37</v>
      </c>
      <c r="N137" s="1" t="s">
        <v>17</v>
      </c>
      <c r="O137">
        <f t="shared" si="2"/>
        <v>37</v>
      </c>
      <c r="P137" s="20">
        <f>(Table5[[#This Row],[Likes]]+Table5[[#This Row],[Shares]]+Table5[[#This Row],[Comments]])/Table5[[#This Row],[Impressions]]</f>
        <v>3.9674653122814763E-2</v>
      </c>
      <c r="Q137" s="27">
        <f>Table5[[#This Row],[Likes]]+Table5[[#This Row],[Shares]]+Table5[[#This Row],[Comments]]</f>
        <v>2156</v>
      </c>
    </row>
    <row r="138" spans="1:17" x14ac:dyDescent="0.3">
      <c r="A138" s="1" t="s">
        <v>71</v>
      </c>
      <c r="B138" s="1" t="s">
        <v>14</v>
      </c>
      <c r="C138" s="2">
        <v>45545</v>
      </c>
      <c r="D138" s="1" t="s">
        <v>24</v>
      </c>
      <c r="E138" s="1" t="s">
        <v>25</v>
      </c>
      <c r="F138" s="3">
        <v>1230</v>
      </c>
      <c r="G138" s="3">
        <v>309</v>
      </c>
      <c r="H138" s="3">
        <v>207</v>
      </c>
      <c r="I138" s="3">
        <v>44629</v>
      </c>
      <c r="J138" s="3">
        <v>40699</v>
      </c>
      <c r="K138" s="3">
        <v>195</v>
      </c>
      <c r="L138" s="1" t="s">
        <v>37</v>
      </c>
      <c r="M138" s="1" t="s">
        <v>361</v>
      </c>
      <c r="N138" s="1" t="s">
        <v>49</v>
      </c>
      <c r="O138">
        <f t="shared" si="2"/>
        <v>37</v>
      </c>
      <c r="P138" s="20">
        <f>(Table5[[#This Row],[Likes]]+Table5[[#This Row],[Shares]]+Table5[[#This Row],[Comments]])/Table5[[#This Row],[Impressions]]</f>
        <v>3.9122543637545096E-2</v>
      </c>
      <c r="Q138" s="27">
        <f>Table5[[#This Row],[Likes]]+Table5[[#This Row],[Shares]]+Table5[[#This Row],[Comments]]</f>
        <v>1746</v>
      </c>
    </row>
    <row r="139" spans="1:17" x14ac:dyDescent="0.3">
      <c r="A139" s="1" t="s">
        <v>235</v>
      </c>
      <c r="B139" s="1" t="s">
        <v>23</v>
      </c>
      <c r="C139" s="2">
        <v>45547</v>
      </c>
      <c r="D139" s="1" t="s">
        <v>24</v>
      </c>
      <c r="E139" s="1" t="s">
        <v>27</v>
      </c>
      <c r="F139" s="3">
        <v>1839</v>
      </c>
      <c r="G139" s="3">
        <v>223</v>
      </c>
      <c r="H139" s="3">
        <v>171</v>
      </c>
      <c r="I139" s="3">
        <v>35459</v>
      </c>
      <c r="J139" s="3">
        <v>69988</v>
      </c>
      <c r="K139" s="3">
        <v>114</v>
      </c>
      <c r="L139" s="1" t="s">
        <v>358</v>
      </c>
      <c r="M139" s="1" t="s">
        <v>37</v>
      </c>
      <c r="N139" s="1" t="s">
        <v>17</v>
      </c>
      <c r="O139">
        <f t="shared" si="2"/>
        <v>37</v>
      </c>
      <c r="P139" s="20">
        <f>(Table5[[#This Row],[Likes]]+Table5[[#This Row],[Shares]]+Table5[[#This Row],[Comments]])/Table5[[#This Row],[Impressions]]</f>
        <v>6.2974139146620034E-2</v>
      </c>
      <c r="Q139" s="27">
        <f>Table5[[#This Row],[Likes]]+Table5[[#This Row],[Shares]]+Table5[[#This Row],[Comments]]</f>
        <v>2233</v>
      </c>
    </row>
    <row r="140" spans="1:17" x14ac:dyDescent="0.3">
      <c r="A140" s="1" t="s">
        <v>275</v>
      </c>
      <c r="B140" s="1" t="s">
        <v>23</v>
      </c>
      <c r="C140" s="2">
        <v>45550</v>
      </c>
      <c r="D140" s="1" t="s">
        <v>15</v>
      </c>
      <c r="E140" s="1" t="s">
        <v>34</v>
      </c>
      <c r="F140" s="3">
        <v>2145</v>
      </c>
      <c r="G140" s="3">
        <v>340</v>
      </c>
      <c r="H140" s="3">
        <v>85</v>
      </c>
      <c r="I140" s="3">
        <v>53323</v>
      </c>
      <c r="J140" s="3">
        <v>49938</v>
      </c>
      <c r="K140" s="3">
        <v>104</v>
      </c>
      <c r="L140" s="1" t="s">
        <v>37</v>
      </c>
      <c r="M140" s="1" t="s">
        <v>361</v>
      </c>
      <c r="N140" s="1" t="s">
        <v>17</v>
      </c>
      <c r="O140">
        <f t="shared" si="2"/>
        <v>38</v>
      </c>
      <c r="P140" s="20">
        <f>(Table5[[#This Row],[Likes]]+Table5[[#This Row],[Shares]]+Table5[[#This Row],[Comments]])/Table5[[#This Row],[Impressions]]</f>
        <v>4.819683813738912E-2</v>
      </c>
      <c r="Q140" s="27">
        <f>Table5[[#This Row],[Likes]]+Table5[[#This Row],[Shares]]+Table5[[#This Row],[Comments]]</f>
        <v>2570</v>
      </c>
    </row>
    <row r="141" spans="1:17" x14ac:dyDescent="0.3">
      <c r="A141" s="1" t="s">
        <v>226</v>
      </c>
      <c r="B141" s="1" t="s">
        <v>23</v>
      </c>
      <c r="C141" s="2">
        <v>45551</v>
      </c>
      <c r="D141" s="1" t="s">
        <v>24</v>
      </c>
      <c r="E141" s="1" t="s">
        <v>32</v>
      </c>
      <c r="F141" s="3">
        <v>4422</v>
      </c>
      <c r="G141" s="3">
        <v>434</v>
      </c>
      <c r="H141" s="3">
        <v>156</v>
      </c>
      <c r="I141" s="3">
        <v>56165</v>
      </c>
      <c r="J141" s="3">
        <v>52431</v>
      </c>
      <c r="K141" s="3">
        <v>173</v>
      </c>
      <c r="L141" s="1" t="s">
        <v>20</v>
      </c>
      <c r="M141" s="1" t="s">
        <v>358</v>
      </c>
      <c r="N141" s="1" t="s">
        <v>17</v>
      </c>
      <c r="O141">
        <f t="shared" si="2"/>
        <v>38</v>
      </c>
      <c r="P141" s="20">
        <f>(Table5[[#This Row],[Likes]]+Table5[[#This Row],[Shares]]+Table5[[#This Row],[Comments]])/Table5[[#This Row],[Impressions]]</f>
        <v>8.9237069349238848E-2</v>
      </c>
      <c r="Q141" s="27">
        <f>Table5[[#This Row],[Likes]]+Table5[[#This Row],[Shares]]+Table5[[#This Row],[Comments]]</f>
        <v>5012</v>
      </c>
    </row>
    <row r="142" spans="1:17" x14ac:dyDescent="0.3">
      <c r="A142" s="1" t="s">
        <v>281</v>
      </c>
      <c r="B142" s="1" t="s">
        <v>23</v>
      </c>
      <c r="C142" s="2">
        <v>45551</v>
      </c>
      <c r="D142" s="1" t="s">
        <v>24</v>
      </c>
      <c r="E142" s="1" t="s">
        <v>45</v>
      </c>
      <c r="F142" s="3">
        <v>3300</v>
      </c>
      <c r="G142" s="3">
        <v>354</v>
      </c>
      <c r="H142" s="3">
        <v>397</v>
      </c>
      <c r="I142" s="3">
        <v>56773</v>
      </c>
      <c r="J142" s="3">
        <v>72110</v>
      </c>
      <c r="K142" s="3">
        <v>163</v>
      </c>
      <c r="L142" s="1" t="s">
        <v>20</v>
      </c>
      <c r="M142" s="1" t="s">
        <v>358</v>
      </c>
      <c r="N142" s="1" t="s">
        <v>17</v>
      </c>
      <c r="O142">
        <f t="shared" si="2"/>
        <v>38</v>
      </c>
      <c r="P142" s="20">
        <f>(Table5[[#This Row],[Likes]]+Table5[[#This Row],[Shares]]+Table5[[#This Row],[Comments]])/Table5[[#This Row],[Impressions]]</f>
        <v>7.1354340971940891E-2</v>
      </c>
      <c r="Q142" s="27">
        <f>Table5[[#This Row],[Likes]]+Table5[[#This Row],[Shares]]+Table5[[#This Row],[Comments]]</f>
        <v>4051</v>
      </c>
    </row>
    <row r="143" spans="1:17" x14ac:dyDescent="0.3">
      <c r="A143" s="1" t="s">
        <v>139</v>
      </c>
      <c r="B143" s="1" t="s">
        <v>23</v>
      </c>
      <c r="C143" s="2">
        <v>45553</v>
      </c>
      <c r="D143" s="1" t="s">
        <v>15</v>
      </c>
      <c r="E143" s="1" t="s">
        <v>16</v>
      </c>
      <c r="F143" s="3">
        <v>2878</v>
      </c>
      <c r="G143" s="3">
        <v>265</v>
      </c>
      <c r="H143" s="3">
        <v>91</v>
      </c>
      <c r="I143" s="3">
        <v>52090</v>
      </c>
      <c r="J143" s="3">
        <v>28924</v>
      </c>
      <c r="K143" s="3">
        <v>133</v>
      </c>
      <c r="L143" s="1" t="s">
        <v>37</v>
      </c>
      <c r="M143" s="1" t="s">
        <v>361</v>
      </c>
      <c r="N143" s="1" t="s">
        <v>17</v>
      </c>
      <c r="O143">
        <f t="shared" si="2"/>
        <v>38</v>
      </c>
      <c r="P143" s="20">
        <f>(Table5[[#This Row],[Likes]]+Table5[[#This Row],[Shares]]+Table5[[#This Row],[Comments]])/Table5[[#This Row],[Impressions]]</f>
        <v>6.2084853138798232E-2</v>
      </c>
      <c r="Q143" s="27">
        <f>Table5[[#This Row],[Likes]]+Table5[[#This Row],[Shares]]+Table5[[#This Row],[Comments]]</f>
        <v>3234</v>
      </c>
    </row>
    <row r="144" spans="1:17" x14ac:dyDescent="0.3">
      <c r="A144" s="1" t="s">
        <v>186</v>
      </c>
      <c r="B144" s="1" t="s">
        <v>14</v>
      </c>
      <c r="C144" s="2">
        <v>45562</v>
      </c>
      <c r="D144" s="1" t="s">
        <v>15</v>
      </c>
      <c r="E144" s="1" t="s">
        <v>16</v>
      </c>
      <c r="F144" s="3">
        <v>3118</v>
      </c>
      <c r="G144" s="3">
        <v>116</v>
      </c>
      <c r="H144" s="3">
        <v>195</v>
      </c>
      <c r="I144" s="3">
        <v>37100</v>
      </c>
      <c r="J144" s="3">
        <v>62629</v>
      </c>
      <c r="K144" s="3">
        <v>272</v>
      </c>
      <c r="L144" s="1" t="s">
        <v>20</v>
      </c>
      <c r="M144" s="1" t="s">
        <v>361</v>
      </c>
      <c r="N144" s="1" t="s">
        <v>21</v>
      </c>
      <c r="O144">
        <f t="shared" si="2"/>
        <v>39</v>
      </c>
      <c r="P144" s="20">
        <f>(Table5[[#This Row],[Likes]]+Table5[[#This Row],[Shares]]+Table5[[#This Row],[Comments]])/Table5[[#This Row],[Impressions]]</f>
        <v>9.2425876010781671E-2</v>
      </c>
      <c r="Q144" s="27">
        <f>Table5[[#This Row],[Likes]]+Table5[[#This Row],[Shares]]+Table5[[#This Row],[Comments]]</f>
        <v>3429</v>
      </c>
    </row>
    <row r="145" spans="1:17" x14ac:dyDescent="0.3">
      <c r="A145" s="1" t="s">
        <v>166</v>
      </c>
      <c r="B145" s="1" t="s">
        <v>23</v>
      </c>
      <c r="C145" s="2">
        <v>45563</v>
      </c>
      <c r="D145" s="1" t="s">
        <v>15</v>
      </c>
      <c r="E145" s="1" t="s">
        <v>32</v>
      </c>
      <c r="F145" s="3">
        <v>4006</v>
      </c>
      <c r="G145" s="3">
        <v>420</v>
      </c>
      <c r="H145" s="3">
        <v>194</v>
      </c>
      <c r="I145" s="3">
        <v>49964</v>
      </c>
      <c r="J145" s="3">
        <v>20685</v>
      </c>
      <c r="K145" s="3">
        <v>148</v>
      </c>
      <c r="L145" s="1" t="s">
        <v>37</v>
      </c>
      <c r="M145" s="1" t="s">
        <v>361</v>
      </c>
      <c r="N145" s="1" t="s">
        <v>17</v>
      </c>
      <c r="O145">
        <f t="shared" si="2"/>
        <v>39</v>
      </c>
      <c r="P145" s="20">
        <f>(Table5[[#This Row],[Likes]]+Table5[[#This Row],[Shares]]+Table5[[#This Row],[Comments]])/Table5[[#This Row],[Impressions]]</f>
        <v>9.2466575934672959E-2</v>
      </c>
      <c r="Q145" s="27">
        <f>Table5[[#This Row],[Likes]]+Table5[[#This Row],[Shares]]+Table5[[#This Row],[Comments]]</f>
        <v>4620</v>
      </c>
    </row>
    <row r="146" spans="1:17" x14ac:dyDescent="0.3">
      <c r="A146" s="1" t="s">
        <v>314</v>
      </c>
      <c r="B146" s="1" t="s">
        <v>23</v>
      </c>
      <c r="C146" s="2">
        <v>45563</v>
      </c>
      <c r="D146" s="1" t="s">
        <v>24</v>
      </c>
      <c r="E146" s="1" t="s">
        <v>27</v>
      </c>
      <c r="F146" s="3">
        <v>4471</v>
      </c>
      <c r="G146" s="3">
        <v>317</v>
      </c>
      <c r="H146" s="3">
        <v>249</v>
      </c>
      <c r="I146" s="3">
        <v>44862</v>
      </c>
      <c r="J146" s="3">
        <v>33365</v>
      </c>
      <c r="K146" s="3">
        <v>184</v>
      </c>
      <c r="L146" s="1" t="s">
        <v>20</v>
      </c>
      <c r="M146" s="1" t="s">
        <v>358</v>
      </c>
      <c r="N146" s="1" t="s">
        <v>17</v>
      </c>
      <c r="O146">
        <f t="shared" si="2"/>
        <v>39</v>
      </c>
      <c r="P146" s="20">
        <f>(Table5[[#This Row],[Likes]]+Table5[[#This Row],[Shares]]+Table5[[#This Row],[Comments]])/Table5[[#This Row],[Impressions]]</f>
        <v>0.1122776514644911</v>
      </c>
      <c r="Q146" s="27">
        <f>Table5[[#This Row],[Likes]]+Table5[[#This Row],[Shares]]+Table5[[#This Row],[Comments]]</f>
        <v>5037</v>
      </c>
    </row>
    <row r="147" spans="1:17" x14ac:dyDescent="0.3">
      <c r="A147" s="1" t="s">
        <v>175</v>
      </c>
      <c r="B147" s="1" t="s">
        <v>29</v>
      </c>
      <c r="C147" s="2">
        <v>45566</v>
      </c>
      <c r="D147" s="1" t="s">
        <v>51</v>
      </c>
      <c r="E147" s="1" t="s">
        <v>19</v>
      </c>
      <c r="F147" s="3">
        <v>3543</v>
      </c>
      <c r="G147" s="3">
        <v>334</v>
      </c>
      <c r="H147" s="3">
        <v>218</v>
      </c>
      <c r="I147" s="3">
        <v>58007</v>
      </c>
      <c r="J147" s="3">
        <v>24792</v>
      </c>
      <c r="K147" s="3">
        <v>273</v>
      </c>
      <c r="L147" s="1" t="s">
        <v>20</v>
      </c>
      <c r="M147" s="1" t="s">
        <v>39</v>
      </c>
      <c r="N147" s="1" t="s">
        <v>52</v>
      </c>
      <c r="O147">
        <f t="shared" si="2"/>
        <v>40</v>
      </c>
      <c r="P147" s="20">
        <f>(Table5[[#This Row],[Likes]]+Table5[[#This Row],[Shares]]+Table5[[#This Row],[Comments]])/Table5[[#This Row],[Impressions]]</f>
        <v>7.0594928198320889E-2</v>
      </c>
      <c r="Q147" s="27">
        <f>Table5[[#This Row],[Likes]]+Table5[[#This Row],[Shares]]+Table5[[#This Row],[Comments]]</f>
        <v>4095</v>
      </c>
    </row>
    <row r="148" spans="1:17" x14ac:dyDescent="0.3">
      <c r="A148" s="1" t="s">
        <v>169</v>
      </c>
      <c r="B148" s="1" t="s">
        <v>23</v>
      </c>
      <c r="C148" s="2">
        <v>45569</v>
      </c>
      <c r="D148" s="1" t="s">
        <v>24</v>
      </c>
      <c r="E148" s="1" t="s">
        <v>19</v>
      </c>
      <c r="F148" s="3">
        <v>2870</v>
      </c>
      <c r="G148" s="3">
        <v>380</v>
      </c>
      <c r="H148" s="3">
        <v>393</v>
      </c>
      <c r="I148" s="3">
        <v>37621</v>
      </c>
      <c r="J148" s="3">
        <v>71794</v>
      </c>
      <c r="K148" s="3">
        <v>127</v>
      </c>
      <c r="L148" s="1" t="s">
        <v>358</v>
      </c>
      <c r="M148" s="1" t="s">
        <v>37</v>
      </c>
      <c r="N148" s="1" t="s">
        <v>17</v>
      </c>
      <c r="O148">
        <f t="shared" si="2"/>
        <v>40</v>
      </c>
      <c r="P148" s="20">
        <f>(Table5[[#This Row],[Likes]]+Table5[[#This Row],[Shares]]+Table5[[#This Row],[Comments]])/Table5[[#This Row],[Impressions]]</f>
        <v>9.6834214933149046E-2</v>
      </c>
      <c r="Q148" s="27">
        <f>Table5[[#This Row],[Likes]]+Table5[[#This Row],[Shares]]+Table5[[#This Row],[Comments]]</f>
        <v>3643</v>
      </c>
    </row>
    <row r="149" spans="1:17" x14ac:dyDescent="0.3">
      <c r="A149" s="1" t="s">
        <v>237</v>
      </c>
      <c r="B149" s="1" t="s">
        <v>14</v>
      </c>
      <c r="C149" s="2">
        <v>45571</v>
      </c>
      <c r="D149" s="1" t="s">
        <v>15</v>
      </c>
      <c r="E149" s="1" t="s">
        <v>77</v>
      </c>
      <c r="F149" s="3">
        <v>2080</v>
      </c>
      <c r="G149" s="3">
        <v>389</v>
      </c>
      <c r="H149" s="3">
        <v>92</v>
      </c>
      <c r="I149" s="3">
        <v>30971</v>
      </c>
      <c r="J149" s="3">
        <v>25347</v>
      </c>
      <c r="K149" s="3">
        <v>111</v>
      </c>
      <c r="L149" s="1" t="s">
        <v>20</v>
      </c>
      <c r="M149" s="1" t="s">
        <v>361</v>
      </c>
      <c r="N149" s="1" t="s">
        <v>21</v>
      </c>
      <c r="O149">
        <f t="shared" si="2"/>
        <v>41</v>
      </c>
      <c r="P149" s="20">
        <f>(Table5[[#This Row],[Likes]]+Table5[[#This Row],[Shares]]+Table5[[#This Row],[Comments]])/Table5[[#This Row],[Impressions]]</f>
        <v>8.2690258629040073E-2</v>
      </c>
      <c r="Q149" s="27">
        <f>Table5[[#This Row],[Likes]]+Table5[[#This Row],[Shares]]+Table5[[#This Row],[Comments]]</f>
        <v>2561</v>
      </c>
    </row>
    <row r="150" spans="1:17" x14ac:dyDescent="0.3">
      <c r="A150" s="1" t="s">
        <v>42</v>
      </c>
      <c r="B150" s="1" t="s">
        <v>23</v>
      </c>
      <c r="C150" s="2">
        <v>45573</v>
      </c>
      <c r="D150" s="1" t="s">
        <v>15</v>
      </c>
      <c r="E150" s="1" t="s">
        <v>43</v>
      </c>
      <c r="F150" s="3">
        <v>2460</v>
      </c>
      <c r="G150" s="3">
        <v>409</v>
      </c>
      <c r="H150" s="3">
        <v>253</v>
      </c>
      <c r="I150" s="3">
        <v>36702</v>
      </c>
      <c r="J150" s="3">
        <v>46122</v>
      </c>
      <c r="K150" s="3">
        <v>264</v>
      </c>
      <c r="L150" s="1" t="s">
        <v>37</v>
      </c>
      <c r="M150" s="1" t="s">
        <v>361</v>
      </c>
      <c r="N150" s="1" t="s">
        <v>17</v>
      </c>
      <c r="O150">
        <f t="shared" si="2"/>
        <v>41</v>
      </c>
      <c r="P150" s="20">
        <f>(Table5[[#This Row],[Likes]]+Table5[[#This Row],[Shares]]+Table5[[#This Row],[Comments]])/Table5[[#This Row],[Impressions]]</f>
        <v>8.5063484278785892E-2</v>
      </c>
      <c r="Q150" s="27">
        <f>Table5[[#This Row],[Likes]]+Table5[[#This Row],[Shares]]+Table5[[#This Row],[Comments]]</f>
        <v>3122</v>
      </c>
    </row>
    <row r="151" spans="1:17" x14ac:dyDescent="0.3">
      <c r="A151" s="1" t="s">
        <v>308</v>
      </c>
      <c r="B151" s="1" t="s">
        <v>14</v>
      </c>
      <c r="C151" s="2">
        <v>45573</v>
      </c>
      <c r="D151" s="1" t="s">
        <v>15</v>
      </c>
      <c r="E151" s="1" t="s">
        <v>19</v>
      </c>
      <c r="F151" s="3">
        <v>2110</v>
      </c>
      <c r="G151" s="3">
        <v>384</v>
      </c>
      <c r="H151" s="3">
        <v>236</v>
      </c>
      <c r="I151" s="3">
        <v>49965</v>
      </c>
      <c r="J151" s="3">
        <v>61555</v>
      </c>
      <c r="K151" s="3">
        <v>195</v>
      </c>
      <c r="L151" s="1" t="s">
        <v>20</v>
      </c>
      <c r="M151" s="1" t="s">
        <v>361</v>
      </c>
      <c r="N151" s="1" t="s">
        <v>21</v>
      </c>
      <c r="O151">
        <f t="shared" si="2"/>
        <v>41</v>
      </c>
      <c r="P151" s="20">
        <f>(Table5[[#This Row],[Likes]]+Table5[[#This Row],[Shares]]+Table5[[#This Row],[Comments]])/Table5[[#This Row],[Impressions]]</f>
        <v>5.4638246772740921E-2</v>
      </c>
      <c r="Q151" s="27">
        <f>Table5[[#This Row],[Likes]]+Table5[[#This Row],[Shares]]+Table5[[#This Row],[Comments]]</f>
        <v>2730</v>
      </c>
    </row>
    <row r="152" spans="1:17" x14ac:dyDescent="0.3">
      <c r="A152" s="1" t="s">
        <v>66</v>
      </c>
      <c r="B152" s="1" t="s">
        <v>23</v>
      </c>
      <c r="C152" s="2">
        <v>45574</v>
      </c>
      <c r="D152" s="1" t="s">
        <v>24</v>
      </c>
      <c r="E152" s="1" t="s">
        <v>16</v>
      </c>
      <c r="F152" s="3">
        <v>4929</v>
      </c>
      <c r="G152" s="3">
        <v>182</v>
      </c>
      <c r="H152" s="3">
        <v>95</v>
      </c>
      <c r="I152" s="3">
        <v>32181</v>
      </c>
      <c r="J152" s="3">
        <v>31084</v>
      </c>
      <c r="K152" s="3">
        <v>289</v>
      </c>
      <c r="L152" s="1" t="s">
        <v>20</v>
      </c>
      <c r="M152" s="1" t="s">
        <v>358</v>
      </c>
      <c r="N152" s="1" t="s">
        <v>17</v>
      </c>
      <c r="O152">
        <f t="shared" si="2"/>
        <v>41</v>
      </c>
      <c r="P152" s="20">
        <f>(Table5[[#This Row],[Likes]]+Table5[[#This Row],[Shares]]+Table5[[#This Row],[Comments]])/Table5[[#This Row],[Impressions]]</f>
        <v>0.16177247444144061</v>
      </c>
      <c r="Q152" s="27">
        <f>Table5[[#This Row],[Likes]]+Table5[[#This Row],[Shares]]+Table5[[#This Row],[Comments]]</f>
        <v>5206</v>
      </c>
    </row>
    <row r="153" spans="1:17" x14ac:dyDescent="0.3">
      <c r="A153" s="1" t="s">
        <v>248</v>
      </c>
      <c r="B153" s="1" t="s">
        <v>23</v>
      </c>
      <c r="C153" s="2">
        <v>45574</v>
      </c>
      <c r="D153" s="1" t="s">
        <v>15</v>
      </c>
      <c r="E153" s="1" t="s">
        <v>27</v>
      </c>
      <c r="F153" s="3">
        <v>2659</v>
      </c>
      <c r="G153" s="3">
        <v>167</v>
      </c>
      <c r="H153" s="3">
        <v>73</v>
      </c>
      <c r="I153" s="3">
        <v>23090</v>
      </c>
      <c r="J153" s="3">
        <v>25872</v>
      </c>
      <c r="K153" s="3">
        <v>293</v>
      </c>
      <c r="L153" s="1" t="s">
        <v>39</v>
      </c>
      <c r="M153" s="1" t="s">
        <v>361</v>
      </c>
      <c r="N153" s="1" t="s">
        <v>21</v>
      </c>
      <c r="O153">
        <f t="shared" si="2"/>
        <v>41</v>
      </c>
      <c r="P153" s="20">
        <f>(Table5[[#This Row],[Likes]]+Table5[[#This Row],[Shares]]+Table5[[#This Row],[Comments]])/Table5[[#This Row],[Impressions]]</f>
        <v>0.12555218709398008</v>
      </c>
      <c r="Q153" s="27">
        <f>Table5[[#This Row],[Likes]]+Table5[[#This Row],[Shares]]+Table5[[#This Row],[Comments]]</f>
        <v>2899</v>
      </c>
    </row>
    <row r="154" spans="1:17" x14ac:dyDescent="0.3">
      <c r="A154" s="1" t="s">
        <v>58</v>
      </c>
      <c r="B154" s="1" t="s">
        <v>29</v>
      </c>
      <c r="C154" s="2">
        <v>45575</v>
      </c>
      <c r="D154" s="1" t="s">
        <v>51</v>
      </c>
      <c r="E154" s="1" t="s">
        <v>43</v>
      </c>
      <c r="F154" s="3">
        <v>4013</v>
      </c>
      <c r="G154" s="3">
        <v>320</v>
      </c>
      <c r="H154" s="3">
        <v>92</v>
      </c>
      <c r="I154" s="3">
        <v>54605</v>
      </c>
      <c r="J154" s="3">
        <v>60169</v>
      </c>
      <c r="K154" s="3">
        <v>232</v>
      </c>
      <c r="L154" s="1" t="s">
        <v>20</v>
      </c>
      <c r="M154" s="1" t="s">
        <v>39</v>
      </c>
      <c r="N154" s="1" t="s">
        <v>52</v>
      </c>
      <c r="O154">
        <f t="shared" si="2"/>
        <v>41</v>
      </c>
      <c r="P154" s="20">
        <f>(Table5[[#This Row],[Likes]]+Table5[[#This Row],[Shares]]+Table5[[#This Row],[Comments]])/Table5[[#This Row],[Impressions]]</f>
        <v>8.1036535115831879E-2</v>
      </c>
      <c r="Q154" s="27">
        <f>Table5[[#This Row],[Likes]]+Table5[[#This Row],[Shares]]+Table5[[#This Row],[Comments]]</f>
        <v>4425</v>
      </c>
    </row>
    <row r="155" spans="1:17" x14ac:dyDescent="0.3">
      <c r="A155" s="1" t="s">
        <v>106</v>
      </c>
      <c r="B155" s="1" t="s">
        <v>14</v>
      </c>
      <c r="C155" s="2">
        <v>45576</v>
      </c>
      <c r="D155" s="1" t="s">
        <v>15</v>
      </c>
      <c r="E155" s="1" t="s">
        <v>43</v>
      </c>
      <c r="F155" s="3">
        <v>1360</v>
      </c>
      <c r="G155" s="3">
        <v>249</v>
      </c>
      <c r="H155" s="3">
        <v>52</v>
      </c>
      <c r="I155" s="3">
        <v>20368</v>
      </c>
      <c r="J155" s="3">
        <v>42152</v>
      </c>
      <c r="K155" s="3">
        <v>193</v>
      </c>
      <c r="L155" s="1" t="s">
        <v>20</v>
      </c>
      <c r="M155" s="1" t="s">
        <v>361</v>
      </c>
      <c r="N155" s="1" t="s">
        <v>21</v>
      </c>
      <c r="O155">
        <f t="shared" si="2"/>
        <v>41</v>
      </c>
      <c r="P155" s="20">
        <f>(Table5[[#This Row],[Likes]]+Table5[[#This Row],[Shares]]+Table5[[#This Row],[Comments]])/Table5[[#This Row],[Impressions]]</f>
        <v>8.1549489395129612E-2</v>
      </c>
      <c r="Q155" s="27">
        <f>Table5[[#This Row],[Likes]]+Table5[[#This Row],[Shares]]+Table5[[#This Row],[Comments]]</f>
        <v>1661</v>
      </c>
    </row>
    <row r="156" spans="1:17" x14ac:dyDescent="0.3">
      <c r="A156" s="1" t="s">
        <v>135</v>
      </c>
      <c r="B156" s="1" t="s">
        <v>23</v>
      </c>
      <c r="C156" s="2">
        <v>45577</v>
      </c>
      <c r="D156" s="1" t="s">
        <v>15</v>
      </c>
      <c r="E156" s="1" t="s">
        <v>34</v>
      </c>
      <c r="F156" s="3">
        <v>3169</v>
      </c>
      <c r="G156" s="3">
        <v>386</v>
      </c>
      <c r="H156" s="3">
        <v>175</v>
      </c>
      <c r="I156" s="3">
        <v>45012</v>
      </c>
      <c r="J156" s="3">
        <v>38508</v>
      </c>
      <c r="K156" s="3">
        <v>218</v>
      </c>
      <c r="L156" s="1" t="s">
        <v>37</v>
      </c>
      <c r="M156" s="1" t="s">
        <v>361</v>
      </c>
      <c r="N156" s="1" t="s">
        <v>17</v>
      </c>
      <c r="O156">
        <f t="shared" si="2"/>
        <v>41</v>
      </c>
      <c r="P156" s="20">
        <f>(Table5[[#This Row],[Likes]]+Table5[[#This Row],[Shares]]+Table5[[#This Row],[Comments]])/Table5[[#This Row],[Impressions]]</f>
        <v>8.2866791077934779E-2</v>
      </c>
      <c r="Q156" s="27">
        <f>Table5[[#This Row],[Likes]]+Table5[[#This Row],[Shares]]+Table5[[#This Row],[Comments]]</f>
        <v>3730</v>
      </c>
    </row>
    <row r="157" spans="1:17" x14ac:dyDescent="0.3">
      <c r="A157" s="1" t="s">
        <v>252</v>
      </c>
      <c r="B157" s="1" t="s">
        <v>23</v>
      </c>
      <c r="C157" s="2">
        <v>45579</v>
      </c>
      <c r="D157" s="1" t="s">
        <v>24</v>
      </c>
      <c r="E157" s="1" t="s">
        <v>19</v>
      </c>
      <c r="F157" s="3">
        <v>4303</v>
      </c>
      <c r="G157" s="3">
        <v>306</v>
      </c>
      <c r="H157" s="3">
        <v>302</v>
      </c>
      <c r="I157" s="3">
        <v>39575</v>
      </c>
      <c r="J157" s="3">
        <v>33762</v>
      </c>
      <c r="K157" s="3">
        <v>265</v>
      </c>
      <c r="L157" s="1" t="s">
        <v>20</v>
      </c>
      <c r="M157" s="1" t="s">
        <v>358</v>
      </c>
      <c r="N157" s="1" t="s">
        <v>17</v>
      </c>
      <c r="O157">
        <f t="shared" si="2"/>
        <v>42</v>
      </c>
      <c r="P157" s="20">
        <f>(Table5[[#This Row],[Likes]]+Table5[[#This Row],[Shares]]+Table5[[#This Row],[Comments]])/Table5[[#This Row],[Impressions]]</f>
        <v>0.12409349336702463</v>
      </c>
      <c r="Q157" s="27">
        <f>Table5[[#This Row],[Likes]]+Table5[[#This Row],[Shares]]+Table5[[#This Row],[Comments]]</f>
        <v>4911</v>
      </c>
    </row>
    <row r="158" spans="1:17" x14ac:dyDescent="0.3">
      <c r="A158" s="1" t="s">
        <v>133</v>
      </c>
      <c r="B158" s="1" t="s">
        <v>23</v>
      </c>
      <c r="C158" s="2">
        <v>45580</v>
      </c>
      <c r="D158" s="1" t="s">
        <v>15</v>
      </c>
      <c r="E158" s="1" t="s">
        <v>27</v>
      </c>
      <c r="F158" s="3">
        <v>1984</v>
      </c>
      <c r="G158" s="3">
        <v>481</v>
      </c>
      <c r="H158" s="3">
        <v>356</v>
      </c>
      <c r="I158" s="3">
        <v>40681</v>
      </c>
      <c r="J158" s="3">
        <v>63111</v>
      </c>
      <c r="K158" s="3">
        <v>258</v>
      </c>
      <c r="L158" s="1" t="s">
        <v>37</v>
      </c>
      <c r="M158" s="1" t="s">
        <v>361</v>
      </c>
      <c r="N158" s="1" t="s">
        <v>17</v>
      </c>
      <c r="O158">
        <f t="shared" si="2"/>
        <v>42</v>
      </c>
      <c r="P158" s="20">
        <f>(Table5[[#This Row],[Likes]]+Table5[[#This Row],[Shares]]+Table5[[#This Row],[Comments]])/Table5[[#This Row],[Impressions]]</f>
        <v>6.934441139598338E-2</v>
      </c>
      <c r="Q158" s="27">
        <f>Table5[[#This Row],[Likes]]+Table5[[#This Row],[Shares]]+Table5[[#This Row],[Comments]]</f>
        <v>2821</v>
      </c>
    </row>
    <row r="159" spans="1:17" x14ac:dyDescent="0.3">
      <c r="A159" s="1" t="s">
        <v>57</v>
      </c>
      <c r="B159" s="1" t="s">
        <v>23</v>
      </c>
      <c r="C159" s="2">
        <v>45583</v>
      </c>
      <c r="D159" s="1" t="s">
        <v>15</v>
      </c>
      <c r="E159" s="1" t="s">
        <v>25</v>
      </c>
      <c r="F159" s="3">
        <v>2607</v>
      </c>
      <c r="G159" s="3">
        <v>379</v>
      </c>
      <c r="H159" s="3">
        <v>180</v>
      </c>
      <c r="I159" s="3">
        <v>28712</v>
      </c>
      <c r="J159" s="3">
        <v>61620</v>
      </c>
      <c r="K159" s="3">
        <v>174</v>
      </c>
      <c r="L159" s="1" t="s">
        <v>39</v>
      </c>
      <c r="M159" s="1" t="s">
        <v>361</v>
      </c>
      <c r="N159" s="1" t="s">
        <v>21</v>
      </c>
      <c r="O159">
        <f t="shared" si="2"/>
        <v>42</v>
      </c>
      <c r="P159" s="20">
        <f>(Table5[[#This Row],[Likes]]+Table5[[#This Row],[Shares]]+Table5[[#This Row],[Comments]])/Table5[[#This Row],[Impressions]]</f>
        <v>0.11026748397882419</v>
      </c>
      <c r="Q159" s="27">
        <f>Table5[[#This Row],[Likes]]+Table5[[#This Row],[Shares]]+Table5[[#This Row],[Comments]]</f>
        <v>3166</v>
      </c>
    </row>
    <row r="160" spans="1:17" x14ac:dyDescent="0.3">
      <c r="A160" s="1" t="s">
        <v>267</v>
      </c>
      <c r="B160" s="1" t="s">
        <v>23</v>
      </c>
      <c r="C160" s="2">
        <v>45585</v>
      </c>
      <c r="D160" s="1" t="s">
        <v>15</v>
      </c>
      <c r="E160" s="1" t="s">
        <v>43</v>
      </c>
      <c r="F160" s="3">
        <v>2752</v>
      </c>
      <c r="G160" s="3">
        <v>309</v>
      </c>
      <c r="H160" s="3">
        <v>91</v>
      </c>
      <c r="I160" s="3">
        <v>39038</v>
      </c>
      <c r="J160" s="3">
        <v>28095</v>
      </c>
      <c r="K160" s="3">
        <v>277</v>
      </c>
      <c r="L160" s="1" t="s">
        <v>37</v>
      </c>
      <c r="M160" s="1" t="s">
        <v>361</v>
      </c>
      <c r="N160" s="1" t="s">
        <v>17</v>
      </c>
      <c r="O160">
        <f t="shared" si="2"/>
        <v>43</v>
      </c>
      <c r="P160" s="20">
        <f>(Table5[[#This Row],[Likes]]+Table5[[#This Row],[Shares]]+Table5[[#This Row],[Comments]])/Table5[[#This Row],[Impressions]]</f>
        <v>8.0741841282852611E-2</v>
      </c>
      <c r="Q160" s="27">
        <f>Table5[[#This Row],[Likes]]+Table5[[#This Row],[Shares]]+Table5[[#This Row],[Comments]]</f>
        <v>3152</v>
      </c>
    </row>
    <row r="161" spans="1:17" x14ac:dyDescent="0.3">
      <c r="A161" s="1" t="s">
        <v>318</v>
      </c>
      <c r="B161" s="1" t="s">
        <v>14</v>
      </c>
      <c r="C161" s="2">
        <v>45589</v>
      </c>
      <c r="D161" s="1" t="s">
        <v>24</v>
      </c>
      <c r="E161" s="1" t="s">
        <v>77</v>
      </c>
      <c r="F161" s="3">
        <v>1914</v>
      </c>
      <c r="G161" s="3">
        <v>255</v>
      </c>
      <c r="H161" s="3">
        <v>156</v>
      </c>
      <c r="I161" s="3">
        <v>27660</v>
      </c>
      <c r="J161" s="3">
        <v>47776</v>
      </c>
      <c r="K161" s="3">
        <v>111</v>
      </c>
      <c r="L161" s="1" t="s">
        <v>37</v>
      </c>
      <c r="M161" s="1" t="s">
        <v>361</v>
      </c>
      <c r="N161" s="1" t="s">
        <v>49</v>
      </c>
      <c r="O161">
        <f t="shared" si="2"/>
        <v>43</v>
      </c>
      <c r="P161" s="20">
        <f>(Table5[[#This Row],[Likes]]+Table5[[#This Row],[Shares]]+Table5[[#This Row],[Comments]])/Table5[[#This Row],[Impressions]]</f>
        <v>8.4056399132321047E-2</v>
      </c>
      <c r="Q161" s="27">
        <f>Table5[[#This Row],[Likes]]+Table5[[#This Row],[Shares]]+Table5[[#This Row],[Comments]]</f>
        <v>2325</v>
      </c>
    </row>
    <row r="162" spans="1:17" x14ac:dyDescent="0.3">
      <c r="A162" s="1" t="s">
        <v>136</v>
      </c>
      <c r="B162" s="1" t="s">
        <v>23</v>
      </c>
      <c r="C162" s="2">
        <v>45591</v>
      </c>
      <c r="D162" s="1" t="s">
        <v>15</v>
      </c>
      <c r="E162" s="1" t="s">
        <v>16</v>
      </c>
      <c r="F162" s="3">
        <v>3036</v>
      </c>
      <c r="G162" s="3">
        <v>293</v>
      </c>
      <c r="H162" s="3">
        <v>115</v>
      </c>
      <c r="I162" s="3">
        <v>23776</v>
      </c>
      <c r="J162" s="3">
        <v>46386</v>
      </c>
      <c r="K162" s="3">
        <v>282</v>
      </c>
      <c r="L162" s="1" t="s">
        <v>37</v>
      </c>
      <c r="M162" s="1" t="s">
        <v>361</v>
      </c>
      <c r="N162" s="1" t="s">
        <v>17</v>
      </c>
      <c r="O162">
        <f t="shared" si="2"/>
        <v>43</v>
      </c>
      <c r="P162" s="20">
        <f>(Table5[[#This Row],[Likes]]+Table5[[#This Row],[Shares]]+Table5[[#This Row],[Comments]])/Table5[[#This Row],[Impressions]]</f>
        <v>0.14485195154777927</v>
      </c>
      <c r="Q162" s="27">
        <f>Table5[[#This Row],[Likes]]+Table5[[#This Row],[Shares]]+Table5[[#This Row],[Comments]]</f>
        <v>3444</v>
      </c>
    </row>
    <row r="163" spans="1:17" x14ac:dyDescent="0.3">
      <c r="A163" s="1" t="s">
        <v>286</v>
      </c>
      <c r="B163" s="1" t="s">
        <v>29</v>
      </c>
      <c r="C163" s="2">
        <v>45591</v>
      </c>
      <c r="D163" s="1" t="s">
        <v>15</v>
      </c>
      <c r="E163" s="1" t="s">
        <v>25</v>
      </c>
      <c r="F163" s="3">
        <v>4676</v>
      </c>
      <c r="G163" s="3">
        <v>211</v>
      </c>
      <c r="H163" s="3">
        <v>55</v>
      </c>
      <c r="I163" s="3">
        <v>45917</v>
      </c>
      <c r="J163" s="3">
        <v>73503</v>
      </c>
      <c r="K163" s="3">
        <v>248</v>
      </c>
      <c r="L163" s="1" t="s">
        <v>20</v>
      </c>
      <c r="M163" s="1" t="s">
        <v>359</v>
      </c>
      <c r="N163" s="1" t="s">
        <v>21</v>
      </c>
      <c r="O163">
        <f t="shared" si="2"/>
        <v>43</v>
      </c>
      <c r="P163" s="20">
        <f>(Table5[[#This Row],[Likes]]+Table5[[#This Row],[Shares]]+Table5[[#This Row],[Comments]])/Table5[[#This Row],[Impressions]]</f>
        <v>0.10762898272970794</v>
      </c>
      <c r="Q163" s="27">
        <f>Table5[[#This Row],[Likes]]+Table5[[#This Row],[Shares]]+Table5[[#This Row],[Comments]]</f>
        <v>4942</v>
      </c>
    </row>
    <row r="164" spans="1:17" x14ac:dyDescent="0.3">
      <c r="A164" s="1" t="s">
        <v>96</v>
      </c>
      <c r="B164" s="1" t="s">
        <v>23</v>
      </c>
      <c r="C164" s="2">
        <v>45599</v>
      </c>
      <c r="D164" s="1" t="s">
        <v>24</v>
      </c>
      <c r="E164" s="1" t="s">
        <v>27</v>
      </c>
      <c r="F164" s="3">
        <v>1959</v>
      </c>
      <c r="G164" s="3">
        <v>316</v>
      </c>
      <c r="H164" s="3">
        <v>82</v>
      </c>
      <c r="I164" s="3">
        <v>54036</v>
      </c>
      <c r="J164" s="3">
        <v>69015</v>
      </c>
      <c r="K164" s="3">
        <v>182</v>
      </c>
      <c r="L164" s="1" t="s">
        <v>358</v>
      </c>
      <c r="M164" s="1" t="s">
        <v>37</v>
      </c>
      <c r="N164" s="1" t="s">
        <v>17</v>
      </c>
      <c r="O164">
        <f t="shared" si="2"/>
        <v>45</v>
      </c>
      <c r="P164" s="20">
        <f>(Table5[[#This Row],[Likes]]+Table5[[#This Row],[Shares]]+Table5[[#This Row],[Comments]])/Table5[[#This Row],[Impressions]]</f>
        <v>4.3619068768968837E-2</v>
      </c>
      <c r="Q164" s="27">
        <f>Table5[[#This Row],[Likes]]+Table5[[#This Row],[Shares]]+Table5[[#This Row],[Comments]]</f>
        <v>2357</v>
      </c>
    </row>
    <row r="165" spans="1:17" x14ac:dyDescent="0.3">
      <c r="A165" s="1" t="s">
        <v>326</v>
      </c>
      <c r="B165" s="1" t="s">
        <v>23</v>
      </c>
      <c r="C165" s="2">
        <v>45599</v>
      </c>
      <c r="D165" s="1" t="s">
        <v>24</v>
      </c>
      <c r="E165" s="1" t="s">
        <v>19</v>
      </c>
      <c r="F165" s="3">
        <v>3061</v>
      </c>
      <c r="G165" s="3">
        <v>320</v>
      </c>
      <c r="H165" s="3">
        <v>76</v>
      </c>
      <c r="I165" s="3">
        <v>26640</v>
      </c>
      <c r="J165" s="3">
        <v>24306</v>
      </c>
      <c r="K165" s="3">
        <v>112</v>
      </c>
      <c r="L165" s="1" t="s">
        <v>358</v>
      </c>
      <c r="M165" s="1" t="s">
        <v>37</v>
      </c>
      <c r="N165" s="1" t="s">
        <v>17</v>
      </c>
      <c r="O165">
        <f t="shared" si="2"/>
        <v>45</v>
      </c>
      <c r="P165" s="20">
        <f>(Table5[[#This Row],[Likes]]+Table5[[#This Row],[Shares]]+Table5[[#This Row],[Comments]])/Table5[[#This Row],[Impressions]]</f>
        <v>0.12976726726726726</v>
      </c>
      <c r="Q165" s="27">
        <f>Table5[[#This Row],[Likes]]+Table5[[#This Row],[Shares]]+Table5[[#This Row],[Comments]]</f>
        <v>3457</v>
      </c>
    </row>
    <row r="166" spans="1:17" x14ac:dyDescent="0.3">
      <c r="A166" s="1" t="s">
        <v>159</v>
      </c>
      <c r="B166" s="1" t="s">
        <v>23</v>
      </c>
      <c r="C166" s="2">
        <v>45602</v>
      </c>
      <c r="D166" s="1" t="s">
        <v>15</v>
      </c>
      <c r="E166" s="1" t="s">
        <v>43</v>
      </c>
      <c r="F166" s="3">
        <v>2956</v>
      </c>
      <c r="G166" s="3">
        <v>381</v>
      </c>
      <c r="H166" s="3">
        <v>345</v>
      </c>
      <c r="I166" s="3">
        <v>33347</v>
      </c>
      <c r="J166" s="3">
        <v>22558</v>
      </c>
      <c r="K166" s="3">
        <v>173</v>
      </c>
      <c r="L166" s="1" t="s">
        <v>37</v>
      </c>
      <c r="M166" s="1" t="s">
        <v>361</v>
      </c>
      <c r="N166" s="1" t="s">
        <v>17</v>
      </c>
      <c r="O166">
        <f t="shared" si="2"/>
        <v>45</v>
      </c>
      <c r="P166" s="20">
        <f>(Table5[[#This Row],[Likes]]+Table5[[#This Row],[Shares]]+Table5[[#This Row],[Comments]])/Table5[[#This Row],[Impressions]]</f>
        <v>0.11041472996071611</v>
      </c>
      <c r="Q166" s="27">
        <f>Table5[[#This Row],[Likes]]+Table5[[#This Row],[Shares]]+Table5[[#This Row],[Comments]]</f>
        <v>3682</v>
      </c>
    </row>
    <row r="167" spans="1:17" x14ac:dyDescent="0.3">
      <c r="A167" s="1" t="s">
        <v>54</v>
      </c>
      <c r="B167" s="1" t="s">
        <v>14</v>
      </c>
      <c r="C167" s="2">
        <v>45603</v>
      </c>
      <c r="D167" s="1" t="s">
        <v>24</v>
      </c>
      <c r="E167" s="1" t="s">
        <v>27</v>
      </c>
      <c r="F167" s="3">
        <v>1678</v>
      </c>
      <c r="G167" s="3">
        <v>423</v>
      </c>
      <c r="H167" s="3">
        <v>323</v>
      </c>
      <c r="I167" s="3">
        <v>55668</v>
      </c>
      <c r="J167" s="3">
        <v>37945</v>
      </c>
      <c r="K167" s="3">
        <v>230</v>
      </c>
      <c r="L167" s="1" t="s">
        <v>37</v>
      </c>
      <c r="M167" s="1" t="s">
        <v>361</v>
      </c>
      <c r="N167" s="1" t="s">
        <v>49</v>
      </c>
      <c r="O167">
        <f t="shared" si="2"/>
        <v>45</v>
      </c>
      <c r="P167" s="20">
        <f>(Table5[[#This Row],[Likes]]+Table5[[#This Row],[Shares]]+Table5[[#This Row],[Comments]])/Table5[[#This Row],[Impressions]]</f>
        <v>4.3543867212761371E-2</v>
      </c>
      <c r="Q167" s="27">
        <f>Table5[[#This Row],[Likes]]+Table5[[#This Row],[Shares]]+Table5[[#This Row],[Comments]]</f>
        <v>2424</v>
      </c>
    </row>
    <row r="168" spans="1:17" x14ac:dyDescent="0.3">
      <c r="A168" s="1" t="s">
        <v>306</v>
      </c>
      <c r="B168" s="1" t="s">
        <v>23</v>
      </c>
      <c r="C168" s="2">
        <v>45603</v>
      </c>
      <c r="D168" s="1" t="s">
        <v>15</v>
      </c>
      <c r="E168" s="1" t="s">
        <v>19</v>
      </c>
      <c r="F168" s="3">
        <v>2229</v>
      </c>
      <c r="G168" s="3">
        <v>395</v>
      </c>
      <c r="H168" s="3">
        <v>328</v>
      </c>
      <c r="I168" s="3">
        <v>56921</v>
      </c>
      <c r="J168" s="3">
        <v>37176</v>
      </c>
      <c r="K168" s="3">
        <v>126</v>
      </c>
      <c r="L168" s="1" t="s">
        <v>39</v>
      </c>
      <c r="M168" s="1" t="s">
        <v>361</v>
      </c>
      <c r="N168" s="1" t="s">
        <v>21</v>
      </c>
      <c r="O168">
        <f t="shared" si="2"/>
        <v>45</v>
      </c>
      <c r="P168" s="20">
        <f>(Table5[[#This Row],[Likes]]+Table5[[#This Row],[Shares]]+Table5[[#This Row],[Comments]])/Table5[[#This Row],[Impressions]]</f>
        <v>5.1861351697967357E-2</v>
      </c>
      <c r="Q168" s="27">
        <f>Table5[[#This Row],[Likes]]+Table5[[#This Row],[Shares]]+Table5[[#This Row],[Comments]]</f>
        <v>2952</v>
      </c>
    </row>
    <row r="169" spans="1:17" x14ac:dyDescent="0.3">
      <c r="A169" s="1" t="s">
        <v>301</v>
      </c>
      <c r="B169" s="1" t="s">
        <v>29</v>
      </c>
      <c r="C169" s="2">
        <v>45604</v>
      </c>
      <c r="D169" s="1" t="s">
        <v>15</v>
      </c>
      <c r="E169" s="1" t="s">
        <v>77</v>
      </c>
      <c r="F169" s="3">
        <v>2471</v>
      </c>
      <c r="G169" s="3">
        <v>166</v>
      </c>
      <c r="H169" s="3">
        <v>320</v>
      </c>
      <c r="I169" s="3">
        <v>48254</v>
      </c>
      <c r="J169" s="3">
        <v>46900</v>
      </c>
      <c r="K169" s="3">
        <v>111</v>
      </c>
      <c r="L169" s="1" t="s">
        <v>20</v>
      </c>
      <c r="M169" s="1" t="s">
        <v>359</v>
      </c>
      <c r="N169" s="1" t="s">
        <v>21</v>
      </c>
      <c r="O169">
        <f t="shared" si="2"/>
        <v>45</v>
      </c>
      <c r="P169" s="20">
        <f>(Table5[[#This Row],[Likes]]+Table5[[#This Row],[Shares]]+Table5[[#This Row],[Comments]])/Table5[[#This Row],[Impressions]]</f>
        <v>6.1279893894806647E-2</v>
      </c>
      <c r="Q169" s="27">
        <f>Table5[[#This Row],[Likes]]+Table5[[#This Row],[Shares]]+Table5[[#This Row],[Comments]]</f>
        <v>2957</v>
      </c>
    </row>
    <row r="170" spans="1:17" x14ac:dyDescent="0.3">
      <c r="A170" s="1" t="s">
        <v>211</v>
      </c>
      <c r="B170" s="1" t="s">
        <v>23</v>
      </c>
      <c r="C170" s="2">
        <v>45606</v>
      </c>
      <c r="D170" s="1" t="s">
        <v>15</v>
      </c>
      <c r="E170" s="1" t="s">
        <v>19</v>
      </c>
      <c r="F170" s="3">
        <v>4823</v>
      </c>
      <c r="G170" s="3">
        <v>489</v>
      </c>
      <c r="H170" s="3">
        <v>302</v>
      </c>
      <c r="I170" s="3">
        <v>32470</v>
      </c>
      <c r="J170" s="3">
        <v>31861</v>
      </c>
      <c r="K170" s="3">
        <v>178</v>
      </c>
      <c r="L170" s="1" t="s">
        <v>39</v>
      </c>
      <c r="M170" s="1" t="s">
        <v>361</v>
      </c>
      <c r="N170" s="1" t="s">
        <v>21</v>
      </c>
      <c r="O170">
        <f t="shared" si="2"/>
        <v>46</v>
      </c>
      <c r="P170" s="20">
        <f>(Table5[[#This Row],[Likes]]+Table5[[#This Row],[Shares]]+Table5[[#This Row],[Comments]])/Table5[[#This Row],[Impressions]]</f>
        <v>0.1728980597474592</v>
      </c>
      <c r="Q170" s="27">
        <f>Table5[[#This Row],[Likes]]+Table5[[#This Row],[Shares]]+Table5[[#This Row],[Comments]]</f>
        <v>5614</v>
      </c>
    </row>
    <row r="171" spans="1:17" x14ac:dyDescent="0.3">
      <c r="A171" s="1" t="s">
        <v>128</v>
      </c>
      <c r="B171" s="1" t="s">
        <v>23</v>
      </c>
      <c r="C171" s="2">
        <v>45609</v>
      </c>
      <c r="D171" s="1" t="s">
        <v>24</v>
      </c>
      <c r="E171" s="1" t="s">
        <v>77</v>
      </c>
      <c r="F171" s="3">
        <v>4628</v>
      </c>
      <c r="G171" s="3">
        <v>257</v>
      </c>
      <c r="H171" s="3">
        <v>397</v>
      </c>
      <c r="I171" s="3">
        <v>36686</v>
      </c>
      <c r="J171" s="3">
        <v>54683</v>
      </c>
      <c r="K171" s="3">
        <v>98</v>
      </c>
      <c r="L171" s="1" t="s">
        <v>39</v>
      </c>
      <c r="M171" s="1" t="s">
        <v>37</v>
      </c>
      <c r="N171" s="1" t="s">
        <v>17</v>
      </c>
      <c r="O171">
        <f t="shared" si="2"/>
        <v>46</v>
      </c>
      <c r="P171" s="20">
        <f>(Table5[[#This Row],[Likes]]+Table5[[#This Row],[Shares]]+Table5[[#This Row],[Comments]])/Table5[[#This Row],[Impressions]]</f>
        <v>0.1439786294499264</v>
      </c>
      <c r="Q171" s="27">
        <f>Table5[[#This Row],[Likes]]+Table5[[#This Row],[Shares]]+Table5[[#This Row],[Comments]]</f>
        <v>5282</v>
      </c>
    </row>
    <row r="172" spans="1:17" x14ac:dyDescent="0.3">
      <c r="A172" s="1" t="s">
        <v>304</v>
      </c>
      <c r="B172" s="1" t="s">
        <v>23</v>
      </c>
      <c r="C172" s="2">
        <v>45609</v>
      </c>
      <c r="D172" s="1" t="s">
        <v>24</v>
      </c>
      <c r="E172" s="1" t="s">
        <v>25</v>
      </c>
      <c r="F172" s="3">
        <v>1409</v>
      </c>
      <c r="G172" s="3">
        <v>466</v>
      </c>
      <c r="H172" s="3">
        <v>105</v>
      </c>
      <c r="I172" s="3">
        <v>58923</v>
      </c>
      <c r="J172" s="3">
        <v>38753</v>
      </c>
      <c r="K172" s="3">
        <v>265</v>
      </c>
      <c r="L172" s="1" t="s">
        <v>20</v>
      </c>
      <c r="M172" s="1" t="s">
        <v>358</v>
      </c>
      <c r="N172" s="1" t="s">
        <v>17</v>
      </c>
      <c r="O172">
        <f t="shared" si="2"/>
        <v>46</v>
      </c>
      <c r="P172" s="20">
        <f>(Table5[[#This Row],[Likes]]+Table5[[#This Row],[Shares]]+Table5[[#This Row],[Comments]])/Table5[[#This Row],[Impressions]]</f>
        <v>3.3603177027646251E-2</v>
      </c>
      <c r="Q172" s="27">
        <f>Table5[[#This Row],[Likes]]+Table5[[#This Row],[Shares]]+Table5[[#This Row],[Comments]]</f>
        <v>1980</v>
      </c>
    </row>
    <row r="173" spans="1:17" x14ac:dyDescent="0.3">
      <c r="A173" s="1" t="s">
        <v>196</v>
      </c>
      <c r="B173" s="1" t="s">
        <v>14</v>
      </c>
      <c r="C173" s="2">
        <v>45610</v>
      </c>
      <c r="D173" s="1" t="s">
        <v>15</v>
      </c>
      <c r="E173" s="1" t="s">
        <v>30</v>
      </c>
      <c r="F173" s="3">
        <v>2422</v>
      </c>
      <c r="G173" s="3">
        <v>318</v>
      </c>
      <c r="H173" s="3">
        <v>118</v>
      </c>
      <c r="I173" s="3">
        <v>25386</v>
      </c>
      <c r="J173" s="3">
        <v>20873</v>
      </c>
      <c r="K173" s="3">
        <v>100</v>
      </c>
      <c r="L173" s="1" t="s">
        <v>39</v>
      </c>
      <c r="M173" s="1" t="s">
        <v>37</v>
      </c>
      <c r="N173" s="1" t="s">
        <v>17</v>
      </c>
      <c r="O173">
        <f t="shared" si="2"/>
        <v>46</v>
      </c>
      <c r="P173" s="20">
        <f>(Table5[[#This Row],[Likes]]+Table5[[#This Row],[Shares]]+Table5[[#This Row],[Comments]])/Table5[[#This Row],[Impressions]]</f>
        <v>0.11258173796580792</v>
      </c>
      <c r="Q173" s="27">
        <f>Table5[[#This Row],[Likes]]+Table5[[#This Row],[Shares]]+Table5[[#This Row],[Comments]]</f>
        <v>2858</v>
      </c>
    </row>
    <row r="174" spans="1:17" x14ac:dyDescent="0.3">
      <c r="A174" s="1" t="s">
        <v>295</v>
      </c>
      <c r="B174" s="1" t="s">
        <v>23</v>
      </c>
      <c r="C174" s="2">
        <v>45612</v>
      </c>
      <c r="D174" s="1" t="s">
        <v>15</v>
      </c>
      <c r="E174" s="1" t="s">
        <v>43</v>
      </c>
      <c r="F174" s="3">
        <v>2972</v>
      </c>
      <c r="G174" s="3">
        <v>263</v>
      </c>
      <c r="H174" s="3">
        <v>308</v>
      </c>
      <c r="I174" s="3">
        <v>51740</v>
      </c>
      <c r="J174" s="3">
        <v>28214</v>
      </c>
      <c r="K174" s="3">
        <v>190</v>
      </c>
      <c r="L174" s="1" t="s">
        <v>39</v>
      </c>
      <c r="M174" s="1" t="s">
        <v>361</v>
      </c>
      <c r="N174" s="1" t="s">
        <v>21</v>
      </c>
      <c r="O174">
        <f t="shared" si="2"/>
        <v>46</v>
      </c>
      <c r="P174" s="20">
        <f>(Table5[[#This Row],[Likes]]+Table5[[#This Row],[Shares]]+Table5[[#This Row],[Comments]])/Table5[[#This Row],[Impressions]]</f>
        <v>6.8477000386548123E-2</v>
      </c>
      <c r="Q174" s="27">
        <f>Table5[[#This Row],[Likes]]+Table5[[#This Row],[Shares]]+Table5[[#This Row],[Comments]]</f>
        <v>3543</v>
      </c>
    </row>
    <row r="175" spans="1:17" x14ac:dyDescent="0.3">
      <c r="A175" s="1" t="s">
        <v>331</v>
      </c>
      <c r="B175" s="1" t="s">
        <v>23</v>
      </c>
      <c r="C175" s="2">
        <v>45612</v>
      </c>
      <c r="D175" s="1" t="s">
        <v>15</v>
      </c>
      <c r="E175" s="1" t="s">
        <v>19</v>
      </c>
      <c r="F175" s="3">
        <v>2901</v>
      </c>
      <c r="G175" s="3">
        <v>108</v>
      </c>
      <c r="H175" s="3">
        <v>86</v>
      </c>
      <c r="I175" s="3">
        <v>51777</v>
      </c>
      <c r="J175" s="3">
        <v>23773</v>
      </c>
      <c r="K175" s="3">
        <v>160</v>
      </c>
      <c r="L175" s="1" t="s">
        <v>39</v>
      </c>
      <c r="M175" s="1" t="s">
        <v>361</v>
      </c>
      <c r="N175" s="1" t="s">
        <v>21</v>
      </c>
      <c r="O175">
        <f t="shared" si="2"/>
        <v>46</v>
      </c>
      <c r="P175" s="20">
        <f>(Table5[[#This Row],[Likes]]+Table5[[#This Row],[Shares]]+Table5[[#This Row],[Comments]])/Table5[[#This Row],[Impressions]]</f>
        <v>5.9775576027966085E-2</v>
      </c>
      <c r="Q175" s="27">
        <f>Table5[[#This Row],[Likes]]+Table5[[#This Row],[Shares]]+Table5[[#This Row],[Comments]]</f>
        <v>3095</v>
      </c>
    </row>
    <row r="176" spans="1:17" x14ac:dyDescent="0.3">
      <c r="A176" s="1" t="s">
        <v>170</v>
      </c>
      <c r="B176" s="1" t="s">
        <v>23</v>
      </c>
      <c r="C176" s="2">
        <v>45615</v>
      </c>
      <c r="D176" s="1" t="s">
        <v>15</v>
      </c>
      <c r="E176" s="1" t="s">
        <v>77</v>
      </c>
      <c r="F176" s="3">
        <v>3728</v>
      </c>
      <c r="G176" s="3">
        <v>271</v>
      </c>
      <c r="H176" s="3">
        <v>275</v>
      </c>
      <c r="I176" s="3">
        <v>22827</v>
      </c>
      <c r="J176" s="3">
        <v>37034</v>
      </c>
      <c r="K176" s="3">
        <v>199</v>
      </c>
      <c r="L176" s="1" t="s">
        <v>37</v>
      </c>
      <c r="M176" s="1" t="s">
        <v>361</v>
      </c>
      <c r="N176" s="1" t="s">
        <v>17</v>
      </c>
      <c r="O176">
        <f t="shared" si="2"/>
        <v>47</v>
      </c>
      <c r="P176" s="20">
        <f>(Table5[[#This Row],[Likes]]+Table5[[#This Row],[Shares]]+Table5[[#This Row],[Comments]])/Table5[[#This Row],[Impressions]]</f>
        <v>0.18723441538528934</v>
      </c>
      <c r="Q176" s="27">
        <f>Table5[[#This Row],[Likes]]+Table5[[#This Row],[Shares]]+Table5[[#This Row],[Comments]]</f>
        <v>4274</v>
      </c>
    </row>
    <row r="177" spans="1:17" x14ac:dyDescent="0.3">
      <c r="A177" s="1" t="s">
        <v>188</v>
      </c>
      <c r="B177" s="1" t="s">
        <v>14</v>
      </c>
      <c r="C177" s="2">
        <v>45615</v>
      </c>
      <c r="D177" s="1" t="s">
        <v>15</v>
      </c>
      <c r="E177" s="1" t="s">
        <v>32</v>
      </c>
      <c r="F177" s="3">
        <v>2525</v>
      </c>
      <c r="G177" s="3">
        <v>272</v>
      </c>
      <c r="H177" s="3">
        <v>294</v>
      </c>
      <c r="I177" s="3">
        <v>51875</v>
      </c>
      <c r="J177" s="3">
        <v>24732</v>
      </c>
      <c r="K177" s="3">
        <v>92</v>
      </c>
      <c r="L177" s="1" t="s">
        <v>20</v>
      </c>
      <c r="M177" s="1" t="s">
        <v>361</v>
      </c>
      <c r="N177" s="1" t="s">
        <v>21</v>
      </c>
      <c r="O177">
        <f t="shared" si="2"/>
        <v>47</v>
      </c>
      <c r="P177" s="20">
        <f>(Table5[[#This Row],[Likes]]+Table5[[#This Row],[Shares]]+Table5[[#This Row],[Comments]])/Table5[[#This Row],[Impressions]]</f>
        <v>5.9585542168674697E-2</v>
      </c>
      <c r="Q177" s="27">
        <f>Table5[[#This Row],[Likes]]+Table5[[#This Row],[Shares]]+Table5[[#This Row],[Comments]]</f>
        <v>3091</v>
      </c>
    </row>
    <row r="178" spans="1:17" x14ac:dyDescent="0.3">
      <c r="A178" s="1" t="s">
        <v>213</v>
      </c>
      <c r="B178" s="1" t="s">
        <v>23</v>
      </c>
      <c r="C178" s="2">
        <v>45615</v>
      </c>
      <c r="D178" s="1" t="s">
        <v>15</v>
      </c>
      <c r="E178" s="1" t="s">
        <v>19</v>
      </c>
      <c r="F178" s="3">
        <v>2387</v>
      </c>
      <c r="G178" s="3">
        <v>353</v>
      </c>
      <c r="H178" s="3">
        <v>78</v>
      </c>
      <c r="I178" s="3">
        <v>39745</v>
      </c>
      <c r="J178" s="3">
        <v>69226</v>
      </c>
      <c r="K178" s="3">
        <v>208</v>
      </c>
      <c r="L178" s="1" t="s">
        <v>39</v>
      </c>
      <c r="M178" s="1" t="s">
        <v>361</v>
      </c>
      <c r="N178" s="1" t="s">
        <v>21</v>
      </c>
      <c r="O178">
        <f t="shared" si="2"/>
        <v>47</v>
      </c>
      <c r="P178" s="20">
        <f>(Table5[[#This Row],[Likes]]+Table5[[#This Row],[Shares]]+Table5[[#This Row],[Comments]])/Table5[[#This Row],[Impressions]]</f>
        <v>7.090200025160398E-2</v>
      </c>
      <c r="Q178" s="27">
        <f>Table5[[#This Row],[Likes]]+Table5[[#This Row],[Shares]]+Table5[[#This Row],[Comments]]</f>
        <v>2818</v>
      </c>
    </row>
    <row r="179" spans="1:17" x14ac:dyDescent="0.3">
      <c r="A179" s="1" t="s">
        <v>143</v>
      </c>
      <c r="B179" s="1" t="s">
        <v>14</v>
      </c>
      <c r="C179" s="2">
        <v>45617</v>
      </c>
      <c r="D179" s="1" t="s">
        <v>15</v>
      </c>
      <c r="E179" s="1" t="s">
        <v>30</v>
      </c>
      <c r="F179" s="3">
        <v>4581</v>
      </c>
      <c r="G179" s="3">
        <v>181</v>
      </c>
      <c r="H179" s="3">
        <v>112</v>
      </c>
      <c r="I179" s="3">
        <v>35221</v>
      </c>
      <c r="J179" s="3">
        <v>28797</v>
      </c>
      <c r="K179" s="3">
        <v>164</v>
      </c>
      <c r="L179" s="1" t="s">
        <v>39</v>
      </c>
      <c r="M179" s="1" t="s">
        <v>37</v>
      </c>
      <c r="N179" s="1" t="s">
        <v>17</v>
      </c>
      <c r="O179">
        <f t="shared" si="2"/>
        <v>47</v>
      </c>
      <c r="P179" s="20">
        <f>(Table5[[#This Row],[Likes]]+Table5[[#This Row],[Shares]]+Table5[[#This Row],[Comments]])/Table5[[#This Row],[Impressions]]</f>
        <v>0.13838335084182732</v>
      </c>
      <c r="Q179" s="27">
        <f>Table5[[#This Row],[Likes]]+Table5[[#This Row],[Shares]]+Table5[[#This Row],[Comments]]</f>
        <v>4874</v>
      </c>
    </row>
    <row r="180" spans="1:17" x14ac:dyDescent="0.3">
      <c r="A180" s="1" t="s">
        <v>204</v>
      </c>
      <c r="B180" s="1" t="s">
        <v>23</v>
      </c>
      <c r="C180" s="2">
        <v>45619</v>
      </c>
      <c r="D180" s="1" t="s">
        <v>15</v>
      </c>
      <c r="E180" s="1" t="s">
        <v>25</v>
      </c>
      <c r="F180" s="3">
        <v>4318</v>
      </c>
      <c r="G180" s="3">
        <v>371</v>
      </c>
      <c r="H180" s="3">
        <v>329</v>
      </c>
      <c r="I180" s="3">
        <v>32347</v>
      </c>
      <c r="J180" s="3">
        <v>68956</v>
      </c>
      <c r="K180" s="3">
        <v>259</v>
      </c>
      <c r="L180" s="1" t="s">
        <v>39</v>
      </c>
      <c r="M180" s="1" t="s">
        <v>361</v>
      </c>
      <c r="N180" s="1" t="s">
        <v>21</v>
      </c>
      <c r="O180">
        <f t="shared" si="2"/>
        <v>47</v>
      </c>
      <c r="P180" s="20">
        <f>(Table5[[#This Row],[Likes]]+Table5[[#This Row],[Shares]]+Table5[[#This Row],[Comments]])/Table5[[#This Row],[Impressions]]</f>
        <v>0.15513030574705536</v>
      </c>
      <c r="Q180" s="27">
        <f>Table5[[#This Row],[Likes]]+Table5[[#This Row],[Shares]]+Table5[[#This Row],[Comments]]</f>
        <v>5018</v>
      </c>
    </row>
    <row r="181" spans="1:17" x14ac:dyDescent="0.3">
      <c r="A181" s="1" t="s">
        <v>72</v>
      </c>
      <c r="B181" s="1" t="s">
        <v>14</v>
      </c>
      <c r="C181" s="2">
        <v>45621</v>
      </c>
      <c r="D181" s="1" t="s">
        <v>15</v>
      </c>
      <c r="E181" s="1" t="s">
        <v>43</v>
      </c>
      <c r="F181" s="3">
        <v>1341</v>
      </c>
      <c r="G181" s="3">
        <v>472</v>
      </c>
      <c r="H181" s="3">
        <v>238</v>
      </c>
      <c r="I181" s="3">
        <v>51386</v>
      </c>
      <c r="J181" s="3">
        <v>51706</v>
      </c>
      <c r="K181" s="3">
        <v>133</v>
      </c>
      <c r="L181" s="1" t="s">
        <v>20</v>
      </c>
      <c r="M181" s="1" t="s">
        <v>361</v>
      </c>
      <c r="N181" s="1" t="s">
        <v>21</v>
      </c>
      <c r="O181">
        <f t="shared" si="2"/>
        <v>48</v>
      </c>
      <c r="P181" s="20">
        <f>(Table5[[#This Row],[Likes]]+Table5[[#This Row],[Shares]]+Table5[[#This Row],[Comments]])/Table5[[#This Row],[Impressions]]</f>
        <v>3.9913595142645857E-2</v>
      </c>
      <c r="Q181" s="27">
        <f>Table5[[#This Row],[Likes]]+Table5[[#This Row],[Shares]]+Table5[[#This Row],[Comments]]</f>
        <v>2051</v>
      </c>
    </row>
    <row r="182" spans="1:17" x14ac:dyDescent="0.3">
      <c r="A182" s="1" t="s">
        <v>172</v>
      </c>
      <c r="B182" s="1" t="s">
        <v>23</v>
      </c>
      <c r="C182" s="2">
        <v>45624</v>
      </c>
      <c r="D182" s="1" t="s">
        <v>24</v>
      </c>
      <c r="E182" s="1" t="s">
        <v>25</v>
      </c>
      <c r="F182" s="3">
        <v>1131</v>
      </c>
      <c r="G182" s="3">
        <v>100</v>
      </c>
      <c r="H182" s="3">
        <v>116</v>
      </c>
      <c r="I182" s="3">
        <v>48437</v>
      </c>
      <c r="J182" s="3">
        <v>72704</v>
      </c>
      <c r="K182" s="3">
        <v>236</v>
      </c>
      <c r="L182" s="1" t="s">
        <v>20</v>
      </c>
      <c r="M182" s="1" t="s">
        <v>358</v>
      </c>
      <c r="N182" s="1" t="s">
        <v>17</v>
      </c>
      <c r="O182">
        <f t="shared" si="2"/>
        <v>48</v>
      </c>
      <c r="P182" s="20">
        <f>(Table5[[#This Row],[Likes]]+Table5[[#This Row],[Shares]]+Table5[[#This Row],[Comments]])/Table5[[#This Row],[Impressions]]</f>
        <v>2.7809319322005904E-2</v>
      </c>
      <c r="Q182" s="27">
        <f>Table5[[#This Row],[Likes]]+Table5[[#This Row],[Shares]]+Table5[[#This Row],[Comments]]</f>
        <v>1347</v>
      </c>
    </row>
    <row r="183" spans="1:17" x14ac:dyDescent="0.3">
      <c r="A183" s="1" t="s">
        <v>60</v>
      </c>
      <c r="B183" s="1" t="s">
        <v>14</v>
      </c>
      <c r="C183" s="2">
        <v>45625</v>
      </c>
      <c r="D183" s="1" t="s">
        <v>15</v>
      </c>
      <c r="E183" s="1" t="s">
        <v>32</v>
      </c>
      <c r="F183" s="3">
        <v>2824</v>
      </c>
      <c r="G183" s="3">
        <v>425</v>
      </c>
      <c r="H183" s="3">
        <v>274</v>
      </c>
      <c r="I183" s="3">
        <v>31004</v>
      </c>
      <c r="J183" s="3">
        <v>53488</v>
      </c>
      <c r="K183" s="3">
        <v>268</v>
      </c>
      <c r="L183" s="1" t="s">
        <v>39</v>
      </c>
      <c r="M183" s="1" t="s">
        <v>37</v>
      </c>
      <c r="N183" s="1" t="s">
        <v>17</v>
      </c>
      <c r="O183">
        <f t="shared" si="2"/>
        <v>48</v>
      </c>
      <c r="P183" s="20">
        <f>(Table5[[#This Row],[Likes]]+Table5[[#This Row],[Shares]]+Table5[[#This Row],[Comments]])/Table5[[#This Row],[Impressions]]</f>
        <v>0.11363049929041415</v>
      </c>
      <c r="Q183" s="27">
        <f>Table5[[#This Row],[Likes]]+Table5[[#This Row],[Shares]]+Table5[[#This Row],[Comments]]</f>
        <v>3523</v>
      </c>
    </row>
    <row r="184" spans="1:17" x14ac:dyDescent="0.3">
      <c r="A184" s="1" t="s">
        <v>296</v>
      </c>
      <c r="B184" s="1" t="s">
        <v>23</v>
      </c>
      <c r="C184" s="2">
        <v>45626</v>
      </c>
      <c r="D184" s="1" t="s">
        <v>24</v>
      </c>
      <c r="E184" s="1" t="s">
        <v>19</v>
      </c>
      <c r="F184" s="3">
        <v>4963</v>
      </c>
      <c r="G184" s="3">
        <v>255</v>
      </c>
      <c r="H184" s="3">
        <v>193</v>
      </c>
      <c r="I184" s="3">
        <v>44386</v>
      </c>
      <c r="J184" s="3">
        <v>28415</v>
      </c>
      <c r="K184" s="3">
        <v>174</v>
      </c>
      <c r="L184" s="1" t="s">
        <v>358</v>
      </c>
      <c r="M184" s="1" t="s">
        <v>37</v>
      </c>
      <c r="N184" s="1" t="s">
        <v>17</v>
      </c>
      <c r="O184">
        <f t="shared" si="2"/>
        <v>48</v>
      </c>
      <c r="P184" s="20">
        <f>(Table5[[#This Row],[Likes]]+Table5[[#This Row],[Shares]]+Table5[[#This Row],[Comments]])/Table5[[#This Row],[Impressions]]</f>
        <v>0.12190780876853062</v>
      </c>
      <c r="Q184" s="27">
        <f>Table5[[#This Row],[Likes]]+Table5[[#This Row],[Shares]]+Table5[[#This Row],[Comments]]</f>
        <v>5411</v>
      </c>
    </row>
    <row r="185" spans="1:17" x14ac:dyDescent="0.3">
      <c r="A185" s="1" t="s">
        <v>312</v>
      </c>
      <c r="B185" s="1" t="s">
        <v>14</v>
      </c>
      <c r="C185" s="2">
        <v>45628</v>
      </c>
      <c r="D185" s="1" t="s">
        <v>15</v>
      </c>
      <c r="E185" s="1" t="s">
        <v>77</v>
      </c>
      <c r="F185" s="3">
        <v>3194</v>
      </c>
      <c r="G185" s="3">
        <v>292</v>
      </c>
      <c r="H185" s="3">
        <v>245</v>
      </c>
      <c r="I185" s="3">
        <v>56371</v>
      </c>
      <c r="J185" s="3">
        <v>65597</v>
      </c>
      <c r="K185" s="3">
        <v>163</v>
      </c>
      <c r="L185" s="1" t="s">
        <v>39</v>
      </c>
      <c r="M185" s="1" t="s">
        <v>37</v>
      </c>
      <c r="N185" s="1" t="s">
        <v>17</v>
      </c>
      <c r="O185">
        <f t="shared" si="2"/>
        <v>49</v>
      </c>
      <c r="P185" s="20">
        <f>(Table5[[#This Row],[Likes]]+Table5[[#This Row],[Shares]]+Table5[[#This Row],[Comments]])/Table5[[#This Row],[Impressions]]</f>
        <v>6.6186514342481059E-2</v>
      </c>
      <c r="Q185" s="27">
        <f>Table5[[#This Row],[Likes]]+Table5[[#This Row],[Shares]]+Table5[[#This Row],[Comments]]</f>
        <v>3731</v>
      </c>
    </row>
    <row r="186" spans="1:17" x14ac:dyDescent="0.3">
      <c r="A186" s="1" t="s">
        <v>22</v>
      </c>
      <c r="B186" s="1" t="s">
        <v>23</v>
      </c>
      <c r="C186" s="2">
        <v>45629</v>
      </c>
      <c r="D186" s="1" t="s">
        <v>24</v>
      </c>
      <c r="E186" s="1" t="s">
        <v>25</v>
      </c>
      <c r="F186" s="3">
        <v>3092</v>
      </c>
      <c r="G186" s="3">
        <v>177</v>
      </c>
      <c r="H186" s="3">
        <v>81</v>
      </c>
      <c r="I186" s="3">
        <v>47533</v>
      </c>
      <c r="J186" s="3">
        <v>29220</v>
      </c>
      <c r="K186" s="3">
        <v>121</v>
      </c>
      <c r="L186" s="1" t="s">
        <v>358</v>
      </c>
      <c r="M186" s="1" t="s">
        <v>37</v>
      </c>
      <c r="N186" s="1" t="s">
        <v>17</v>
      </c>
      <c r="O186">
        <f t="shared" si="2"/>
        <v>49</v>
      </c>
      <c r="P186" s="20">
        <f>(Table5[[#This Row],[Likes]]+Table5[[#This Row],[Shares]]+Table5[[#This Row],[Comments]])/Table5[[#This Row],[Impressions]]</f>
        <v>7.0477352576105018E-2</v>
      </c>
      <c r="Q186" s="27">
        <f>Table5[[#This Row],[Likes]]+Table5[[#This Row],[Shares]]+Table5[[#This Row],[Comments]]</f>
        <v>3350</v>
      </c>
    </row>
    <row r="187" spans="1:17" x14ac:dyDescent="0.3">
      <c r="A187" s="1" t="s">
        <v>26</v>
      </c>
      <c r="B187" s="1" t="s">
        <v>14</v>
      </c>
      <c r="C187" s="2">
        <v>45629</v>
      </c>
      <c r="D187" s="1" t="s">
        <v>15</v>
      </c>
      <c r="E187" s="1" t="s">
        <v>27</v>
      </c>
      <c r="F187" s="3">
        <v>3173</v>
      </c>
      <c r="G187" s="3">
        <v>229</v>
      </c>
      <c r="H187" s="3">
        <v>197</v>
      </c>
      <c r="I187" s="3">
        <v>29604</v>
      </c>
      <c r="J187" s="3">
        <v>21809</v>
      </c>
      <c r="K187" s="3">
        <v>272</v>
      </c>
      <c r="L187" s="1" t="s">
        <v>39</v>
      </c>
      <c r="M187" s="1" t="s">
        <v>37</v>
      </c>
      <c r="N187" s="1" t="s">
        <v>17</v>
      </c>
      <c r="O187">
        <f t="shared" si="2"/>
        <v>49</v>
      </c>
      <c r="P187" s="20">
        <f>(Table5[[#This Row],[Likes]]+Table5[[#This Row],[Shares]]+Table5[[#This Row],[Comments]])/Table5[[#This Row],[Impressions]]</f>
        <v>0.1215714092690177</v>
      </c>
      <c r="Q187" s="27">
        <f>Table5[[#This Row],[Likes]]+Table5[[#This Row],[Shares]]+Table5[[#This Row],[Comments]]</f>
        <v>3599</v>
      </c>
    </row>
    <row r="188" spans="1:17" x14ac:dyDescent="0.3">
      <c r="A188" s="1" t="s">
        <v>36</v>
      </c>
      <c r="B188" s="1" t="s">
        <v>23</v>
      </c>
      <c r="C188" s="2">
        <v>45630</v>
      </c>
      <c r="D188" s="1" t="s">
        <v>15</v>
      </c>
      <c r="E188" s="1" t="s">
        <v>27</v>
      </c>
      <c r="F188" s="3">
        <v>2357</v>
      </c>
      <c r="G188" s="3">
        <v>274</v>
      </c>
      <c r="H188" s="3">
        <v>172</v>
      </c>
      <c r="I188" s="3">
        <v>21566</v>
      </c>
      <c r="J188" s="3">
        <v>66829</v>
      </c>
      <c r="K188" s="3">
        <v>284</v>
      </c>
      <c r="L188" s="1" t="s">
        <v>37</v>
      </c>
      <c r="M188" s="1" t="s">
        <v>361</v>
      </c>
      <c r="N188" s="1" t="s">
        <v>17</v>
      </c>
      <c r="O188">
        <f t="shared" si="2"/>
        <v>49</v>
      </c>
      <c r="P188" s="20">
        <f>(Table5[[#This Row],[Likes]]+Table5[[#This Row],[Shares]]+Table5[[#This Row],[Comments]])/Table5[[#This Row],[Impressions]]</f>
        <v>0.12997310581470833</v>
      </c>
      <c r="Q188" s="27">
        <f>Table5[[#This Row],[Likes]]+Table5[[#This Row],[Shares]]+Table5[[#This Row],[Comments]]</f>
        <v>2803</v>
      </c>
    </row>
    <row r="189" spans="1:17" x14ac:dyDescent="0.3">
      <c r="A189" s="1" t="s">
        <v>123</v>
      </c>
      <c r="B189" s="1" t="s">
        <v>14</v>
      </c>
      <c r="C189" s="2">
        <v>45630</v>
      </c>
      <c r="D189" s="1" t="s">
        <v>15</v>
      </c>
      <c r="E189" s="1" t="s">
        <v>27</v>
      </c>
      <c r="F189" s="3">
        <v>2601</v>
      </c>
      <c r="G189" s="3">
        <v>336</v>
      </c>
      <c r="H189" s="3">
        <v>260</v>
      </c>
      <c r="I189" s="3">
        <v>32368</v>
      </c>
      <c r="J189" s="3">
        <v>49028</v>
      </c>
      <c r="K189" s="3">
        <v>120</v>
      </c>
      <c r="L189" s="1" t="s">
        <v>39</v>
      </c>
      <c r="M189" s="1" t="s">
        <v>37</v>
      </c>
      <c r="N189" s="1" t="s">
        <v>17</v>
      </c>
      <c r="O189">
        <f t="shared" si="2"/>
        <v>49</v>
      </c>
      <c r="P189" s="20">
        <f>(Table5[[#This Row],[Likes]]+Table5[[#This Row],[Shares]]+Table5[[#This Row],[Comments]])/Table5[[#This Row],[Impressions]]</f>
        <v>9.8770390509144837E-2</v>
      </c>
      <c r="Q189" s="27">
        <f>Table5[[#This Row],[Likes]]+Table5[[#This Row],[Shares]]+Table5[[#This Row],[Comments]]</f>
        <v>3197</v>
      </c>
    </row>
    <row r="190" spans="1:17" x14ac:dyDescent="0.3">
      <c r="A190" s="1" t="s">
        <v>231</v>
      </c>
      <c r="B190" s="1" t="s">
        <v>29</v>
      </c>
      <c r="C190" s="2">
        <v>45634</v>
      </c>
      <c r="D190" s="1" t="s">
        <v>15</v>
      </c>
      <c r="E190" s="1" t="s">
        <v>77</v>
      </c>
      <c r="F190" s="3">
        <v>1424</v>
      </c>
      <c r="G190" s="3">
        <v>396</v>
      </c>
      <c r="H190" s="3">
        <v>312</v>
      </c>
      <c r="I190" s="3">
        <v>59517</v>
      </c>
      <c r="J190" s="3">
        <v>46102</v>
      </c>
      <c r="K190" s="3">
        <v>239</v>
      </c>
      <c r="L190" s="1" t="s">
        <v>20</v>
      </c>
      <c r="M190" s="1" t="s">
        <v>359</v>
      </c>
      <c r="N190" s="1" t="s">
        <v>21</v>
      </c>
      <c r="O190">
        <f t="shared" si="2"/>
        <v>50</v>
      </c>
      <c r="P190" s="20">
        <f>(Table5[[#This Row],[Likes]]+Table5[[#This Row],[Shares]]+Table5[[#This Row],[Comments]])/Table5[[#This Row],[Impressions]]</f>
        <v>3.5821698002251455E-2</v>
      </c>
      <c r="Q190" s="27">
        <f>Table5[[#This Row],[Likes]]+Table5[[#This Row],[Shares]]+Table5[[#This Row],[Comments]]</f>
        <v>2132</v>
      </c>
    </row>
    <row r="191" spans="1:17" x14ac:dyDescent="0.3">
      <c r="A191" s="1" t="s">
        <v>254</v>
      </c>
      <c r="B191" s="1" t="s">
        <v>29</v>
      </c>
      <c r="C191" s="2">
        <v>45636</v>
      </c>
      <c r="D191" s="1" t="s">
        <v>15</v>
      </c>
      <c r="E191" s="1" t="s">
        <v>32</v>
      </c>
      <c r="F191" s="3">
        <v>2569</v>
      </c>
      <c r="G191" s="3">
        <v>140</v>
      </c>
      <c r="H191" s="3">
        <v>375</v>
      </c>
      <c r="I191" s="3">
        <v>38372</v>
      </c>
      <c r="J191" s="3">
        <v>22102</v>
      </c>
      <c r="K191" s="3">
        <v>255</v>
      </c>
      <c r="L191" s="1" t="s">
        <v>20</v>
      </c>
      <c r="M191" s="1" t="s">
        <v>359</v>
      </c>
      <c r="N191" s="1" t="s">
        <v>21</v>
      </c>
      <c r="O191">
        <f t="shared" si="2"/>
        <v>50</v>
      </c>
      <c r="P191" s="20">
        <f>(Table5[[#This Row],[Likes]]+Table5[[#This Row],[Shares]]+Table5[[#This Row],[Comments]])/Table5[[#This Row],[Impressions]]</f>
        <v>8.0371103929948923E-2</v>
      </c>
      <c r="Q191" s="27">
        <f>Table5[[#This Row],[Likes]]+Table5[[#This Row],[Shares]]+Table5[[#This Row],[Comments]]</f>
        <v>3084</v>
      </c>
    </row>
    <row r="192" spans="1:17" x14ac:dyDescent="0.3">
      <c r="A192" s="1" t="s">
        <v>258</v>
      </c>
      <c r="B192" s="1" t="s">
        <v>23</v>
      </c>
      <c r="C192" s="2">
        <v>45636</v>
      </c>
      <c r="D192" s="1" t="s">
        <v>15</v>
      </c>
      <c r="E192" s="1" t="s">
        <v>43</v>
      </c>
      <c r="F192" s="3">
        <v>4673</v>
      </c>
      <c r="G192" s="3">
        <v>270</v>
      </c>
      <c r="H192" s="3">
        <v>93</v>
      </c>
      <c r="I192" s="3">
        <v>45260</v>
      </c>
      <c r="J192" s="3">
        <v>57513</v>
      </c>
      <c r="K192" s="3">
        <v>103</v>
      </c>
      <c r="L192" s="1" t="s">
        <v>37</v>
      </c>
      <c r="M192" s="1" t="s">
        <v>361</v>
      </c>
      <c r="N192" s="1" t="s">
        <v>17</v>
      </c>
      <c r="O192">
        <f t="shared" si="2"/>
        <v>50</v>
      </c>
      <c r="P192" s="20">
        <f>(Table5[[#This Row],[Likes]]+Table5[[#This Row],[Shares]]+Table5[[#This Row],[Comments]])/Table5[[#This Row],[Impressions]]</f>
        <v>0.11126822801590809</v>
      </c>
      <c r="Q192" s="27">
        <f>Table5[[#This Row],[Likes]]+Table5[[#This Row],[Shares]]+Table5[[#This Row],[Comments]]</f>
        <v>5036</v>
      </c>
    </row>
    <row r="193" spans="1:17" x14ac:dyDescent="0.3">
      <c r="A193" s="1" t="s">
        <v>277</v>
      </c>
      <c r="B193" s="1" t="s">
        <v>23</v>
      </c>
      <c r="C193" s="2">
        <v>45636</v>
      </c>
      <c r="D193" s="1" t="s">
        <v>24</v>
      </c>
      <c r="E193" s="1" t="s">
        <v>27</v>
      </c>
      <c r="F193" s="3">
        <v>2267</v>
      </c>
      <c r="G193" s="3">
        <v>230</v>
      </c>
      <c r="H193" s="3">
        <v>243</v>
      </c>
      <c r="I193" s="3">
        <v>27904</v>
      </c>
      <c r="J193" s="3">
        <v>69771</v>
      </c>
      <c r="K193" s="3">
        <v>255</v>
      </c>
      <c r="L193" s="1" t="s">
        <v>20</v>
      </c>
      <c r="M193" s="1" t="s">
        <v>358</v>
      </c>
      <c r="N193" s="1" t="s">
        <v>17</v>
      </c>
      <c r="O193">
        <f t="shared" si="2"/>
        <v>50</v>
      </c>
      <c r="P193" s="20">
        <f>(Table5[[#This Row],[Likes]]+Table5[[#This Row],[Shares]]+Table5[[#This Row],[Comments]])/Table5[[#This Row],[Impressions]]</f>
        <v>9.8193807339449546E-2</v>
      </c>
      <c r="Q193" s="27">
        <f>Table5[[#This Row],[Likes]]+Table5[[#This Row],[Shares]]+Table5[[#This Row],[Comments]]</f>
        <v>2740</v>
      </c>
    </row>
    <row r="194" spans="1:17" x14ac:dyDescent="0.3">
      <c r="A194" s="1" t="s">
        <v>273</v>
      </c>
      <c r="B194" s="1" t="s">
        <v>23</v>
      </c>
      <c r="C194" s="2">
        <v>45639</v>
      </c>
      <c r="D194" s="1" t="s">
        <v>24</v>
      </c>
      <c r="E194" s="1" t="s">
        <v>25</v>
      </c>
      <c r="F194" s="3">
        <v>4984</v>
      </c>
      <c r="G194" s="3">
        <v>300</v>
      </c>
      <c r="H194" s="3">
        <v>338</v>
      </c>
      <c r="I194" s="3">
        <v>32900</v>
      </c>
      <c r="J194" s="3">
        <v>31691</v>
      </c>
      <c r="K194" s="3">
        <v>160</v>
      </c>
      <c r="L194" s="1" t="s">
        <v>358</v>
      </c>
      <c r="M194" s="1" t="s">
        <v>37</v>
      </c>
      <c r="N194" s="1" t="s">
        <v>17</v>
      </c>
      <c r="O194">
        <f t="shared" ref="O194:O257" si="3">WEEKNUM(C194)</f>
        <v>50</v>
      </c>
      <c r="P194" s="20">
        <f>(Table5[[#This Row],[Likes]]+Table5[[#This Row],[Shares]]+Table5[[#This Row],[Comments]])/Table5[[#This Row],[Impressions]]</f>
        <v>0.17088145896656534</v>
      </c>
      <c r="Q194" s="27">
        <f>Table5[[#This Row],[Likes]]+Table5[[#This Row],[Shares]]+Table5[[#This Row],[Comments]]</f>
        <v>5622</v>
      </c>
    </row>
    <row r="195" spans="1:17" x14ac:dyDescent="0.3">
      <c r="A195" s="1" t="s">
        <v>212</v>
      </c>
      <c r="B195" s="1" t="s">
        <v>14</v>
      </c>
      <c r="C195" s="2">
        <v>45640</v>
      </c>
      <c r="D195" s="1" t="s">
        <v>24</v>
      </c>
      <c r="E195" s="1" t="s">
        <v>43</v>
      </c>
      <c r="F195" s="3">
        <v>3812</v>
      </c>
      <c r="G195" s="3">
        <v>321</v>
      </c>
      <c r="H195" s="3">
        <v>289</v>
      </c>
      <c r="I195" s="3">
        <v>59838</v>
      </c>
      <c r="J195" s="3">
        <v>36337</v>
      </c>
      <c r="K195" s="3">
        <v>161</v>
      </c>
      <c r="L195" s="1" t="s">
        <v>37</v>
      </c>
      <c r="M195" s="1" t="s">
        <v>361</v>
      </c>
      <c r="N195" s="1" t="s">
        <v>49</v>
      </c>
      <c r="O195">
        <f t="shared" si="3"/>
        <v>50</v>
      </c>
      <c r="P195" s="20">
        <f>(Table5[[#This Row],[Likes]]+Table5[[#This Row],[Shares]]+Table5[[#This Row],[Comments]])/Table5[[#This Row],[Impressions]]</f>
        <v>7.3899528727564417E-2</v>
      </c>
      <c r="Q195" s="27">
        <f>Table5[[#This Row],[Likes]]+Table5[[#This Row],[Shares]]+Table5[[#This Row],[Comments]]</f>
        <v>4422</v>
      </c>
    </row>
    <row r="196" spans="1:17" x14ac:dyDescent="0.3">
      <c r="A196" s="1" t="s">
        <v>103</v>
      </c>
      <c r="B196" s="1" t="s">
        <v>23</v>
      </c>
      <c r="C196" s="2">
        <v>45643</v>
      </c>
      <c r="D196" s="1" t="s">
        <v>24</v>
      </c>
      <c r="E196" s="1" t="s">
        <v>30</v>
      </c>
      <c r="F196" s="3">
        <v>1316</v>
      </c>
      <c r="G196" s="3">
        <v>472</v>
      </c>
      <c r="H196" s="3">
        <v>286</v>
      </c>
      <c r="I196" s="3">
        <v>44692</v>
      </c>
      <c r="J196" s="3">
        <v>53343</v>
      </c>
      <c r="K196" s="3">
        <v>227</v>
      </c>
      <c r="L196" s="1" t="s">
        <v>20</v>
      </c>
      <c r="M196" s="1" t="s">
        <v>358</v>
      </c>
      <c r="N196" s="1" t="s">
        <v>17</v>
      </c>
      <c r="O196">
        <f t="shared" si="3"/>
        <v>51</v>
      </c>
      <c r="P196" s="20">
        <f>(Table5[[#This Row],[Likes]]+Table5[[#This Row],[Shares]]+Table5[[#This Row],[Comments]])/Table5[[#This Row],[Impressions]]</f>
        <v>4.6406515707509172E-2</v>
      </c>
      <c r="Q196" s="27">
        <f>Table5[[#This Row],[Likes]]+Table5[[#This Row],[Shares]]+Table5[[#This Row],[Comments]]</f>
        <v>2074</v>
      </c>
    </row>
    <row r="197" spans="1:17" x14ac:dyDescent="0.3">
      <c r="A197" s="1" t="s">
        <v>33</v>
      </c>
      <c r="B197" s="1" t="s">
        <v>23</v>
      </c>
      <c r="C197" s="2">
        <v>45645</v>
      </c>
      <c r="D197" s="1" t="s">
        <v>24</v>
      </c>
      <c r="E197" s="1" t="s">
        <v>34</v>
      </c>
      <c r="F197" s="3">
        <v>4674</v>
      </c>
      <c r="G197" s="3">
        <v>409</v>
      </c>
      <c r="H197" s="3">
        <v>327</v>
      </c>
      <c r="I197" s="3">
        <v>20756</v>
      </c>
      <c r="J197" s="3">
        <v>63599</v>
      </c>
      <c r="K197" s="3">
        <v>212</v>
      </c>
      <c r="L197" s="1" t="s">
        <v>39</v>
      </c>
      <c r="M197" s="1" t="s">
        <v>37</v>
      </c>
      <c r="N197" s="1" t="s">
        <v>17</v>
      </c>
      <c r="O197">
        <f t="shared" si="3"/>
        <v>51</v>
      </c>
      <c r="P197" s="20">
        <f>(Table5[[#This Row],[Likes]]+Table5[[#This Row],[Shares]]+Table5[[#This Row],[Comments]])/Table5[[#This Row],[Impressions]]</f>
        <v>0.26064752360763155</v>
      </c>
      <c r="Q197" s="27">
        <f>Table5[[#This Row],[Likes]]+Table5[[#This Row],[Shares]]+Table5[[#This Row],[Comments]]</f>
        <v>5410</v>
      </c>
    </row>
    <row r="198" spans="1:17" x14ac:dyDescent="0.3">
      <c r="A198" s="1" t="s">
        <v>270</v>
      </c>
      <c r="B198" s="1" t="s">
        <v>14</v>
      </c>
      <c r="C198" s="2">
        <v>45646</v>
      </c>
      <c r="D198" s="1" t="s">
        <v>15</v>
      </c>
      <c r="E198" s="1" t="s">
        <v>16</v>
      </c>
      <c r="F198" s="3">
        <v>2519</v>
      </c>
      <c r="G198" s="3">
        <v>202</v>
      </c>
      <c r="H198" s="3">
        <v>239</v>
      </c>
      <c r="I198" s="3">
        <v>36245</v>
      </c>
      <c r="J198" s="3">
        <v>48606</v>
      </c>
      <c r="K198" s="3">
        <v>145</v>
      </c>
      <c r="L198" s="1" t="s">
        <v>20</v>
      </c>
      <c r="M198" s="1" t="s">
        <v>361</v>
      </c>
      <c r="N198" s="1" t="s">
        <v>21</v>
      </c>
      <c r="O198">
        <f t="shared" si="3"/>
        <v>51</v>
      </c>
      <c r="P198" s="20">
        <f>(Table5[[#This Row],[Likes]]+Table5[[#This Row],[Shares]]+Table5[[#This Row],[Comments]])/Table5[[#This Row],[Impressions]]</f>
        <v>8.1666436749896543E-2</v>
      </c>
      <c r="Q198" s="27">
        <f>Table5[[#This Row],[Likes]]+Table5[[#This Row],[Shares]]+Table5[[#This Row],[Comments]]</f>
        <v>2960</v>
      </c>
    </row>
    <row r="199" spans="1:17" x14ac:dyDescent="0.3">
      <c r="A199" s="1" t="s">
        <v>176</v>
      </c>
      <c r="B199" s="1" t="s">
        <v>14</v>
      </c>
      <c r="C199" s="2">
        <v>45647</v>
      </c>
      <c r="D199" s="1" t="s">
        <v>24</v>
      </c>
      <c r="E199" s="1" t="s">
        <v>25</v>
      </c>
      <c r="F199" s="3">
        <v>4563</v>
      </c>
      <c r="G199" s="3">
        <v>398</v>
      </c>
      <c r="H199" s="3">
        <v>163</v>
      </c>
      <c r="I199" s="3">
        <v>43679</v>
      </c>
      <c r="J199" s="3">
        <v>48760</v>
      </c>
      <c r="K199" s="3">
        <v>92</v>
      </c>
      <c r="L199" s="1" t="s">
        <v>37</v>
      </c>
      <c r="M199" s="1" t="s">
        <v>361</v>
      </c>
      <c r="N199" s="1" t="s">
        <v>49</v>
      </c>
      <c r="O199">
        <f t="shared" si="3"/>
        <v>51</v>
      </c>
      <c r="P199" s="20">
        <f>(Table5[[#This Row],[Likes]]+Table5[[#This Row],[Shares]]+Table5[[#This Row],[Comments]])/Table5[[#This Row],[Impressions]]</f>
        <v>0.11731037798484398</v>
      </c>
      <c r="Q199" s="27">
        <f>Table5[[#This Row],[Likes]]+Table5[[#This Row],[Shares]]+Table5[[#This Row],[Comments]]</f>
        <v>5124</v>
      </c>
    </row>
    <row r="200" spans="1:17" x14ac:dyDescent="0.3">
      <c r="A200" s="1" t="s">
        <v>328</v>
      </c>
      <c r="B200" s="1" t="s">
        <v>14</v>
      </c>
      <c r="C200" s="2">
        <v>45653</v>
      </c>
      <c r="D200" s="1" t="s">
        <v>15</v>
      </c>
      <c r="E200" s="1" t="s">
        <v>43</v>
      </c>
      <c r="F200" s="3">
        <v>1436</v>
      </c>
      <c r="G200" s="3">
        <v>219</v>
      </c>
      <c r="H200" s="3">
        <v>229</v>
      </c>
      <c r="I200" s="3">
        <v>58488</v>
      </c>
      <c r="J200" s="3">
        <v>24314</v>
      </c>
      <c r="K200" s="3">
        <v>147</v>
      </c>
      <c r="L200" s="1" t="s">
        <v>20</v>
      </c>
      <c r="M200" s="1" t="s">
        <v>361</v>
      </c>
      <c r="N200" s="1" t="s">
        <v>21</v>
      </c>
      <c r="O200">
        <f t="shared" si="3"/>
        <v>52</v>
      </c>
      <c r="P200" s="20">
        <f>(Table5[[#This Row],[Likes]]+Table5[[#This Row],[Shares]]+Table5[[#This Row],[Comments]])/Table5[[#This Row],[Impressions]]</f>
        <v>3.221173574066475E-2</v>
      </c>
      <c r="Q200" s="27">
        <f>Table5[[#This Row],[Likes]]+Table5[[#This Row],[Shares]]+Table5[[#This Row],[Comments]]</f>
        <v>1884</v>
      </c>
    </row>
    <row r="201" spans="1:17" x14ac:dyDescent="0.3">
      <c r="A201" s="1" t="s">
        <v>46</v>
      </c>
      <c r="B201" s="1" t="s">
        <v>23</v>
      </c>
      <c r="C201" s="2">
        <v>45655</v>
      </c>
      <c r="D201" s="1" t="s">
        <v>24</v>
      </c>
      <c r="E201" s="1" t="s">
        <v>25</v>
      </c>
      <c r="F201" s="3">
        <v>4049</v>
      </c>
      <c r="G201" s="3">
        <v>377</v>
      </c>
      <c r="H201" s="3">
        <v>94</v>
      </c>
      <c r="I201" s="3">
        <v>48182</v>
      </c>
      <c r="J201" s="3">
        <v>42875</v>
      </c>
      <c r="K201" s="3">
        <v>172</v>
      </c>
      <c r="L201" s="1" t="s">
        <v>358</v>
      </c>
      <c r="M201" s="1" t="s">
        <v>37</v>
      </c>
      <c r="N201" s="1" t="s">
        <v>17</v>
      </c>
      <c r="O201">
        <f t="shared" si="3"/>
        <v>53</v>
      </c>
      <c r="P201" s="20">
        <f>(Table5[[#This Row],[Likes]]+Table5[[#This Row],[Shares]]+Table5[[#This Row],[Comments]])/Table5[[#This Row],[Impressions]]</f>
        <v>9.3810966751068869E-2</v>
      </c>
      <c r="Q201" s="27">
        <f>Table5[[#This Row],[Likes]]+Table5[[#This Row],[Shares]]+Table5[[#This Row],[Comments]]</f>
        <v>4520</v>
      </c>
    </row>
    <row r="202" spans="1:17" x14ac:dyDescent="0.3">
      <c r="A202" s="1" t="s">
        <v>238</v>
      </c>
      <c r="B202" s="1" t="s">
        <v>23</v>
      </c>
      <c r="C202" s="2">
        <v>45656</v>
      </c>
      <c r="D202" s="1" t="s">
        <v>15</v>
      </c>
      <c r="E202" s="1" t="s">
        <v>34</v>
      </c>
      <c r="F202" s="3">
        <v>4214</v>
      </c>
      <c r="G202" s="3">
        <v>286</v>
      </c>
      <c r="H202" s="3">
        <v>127</v>
      </c>
      <c r="I202" s="3">
        <v>47293</v>
      </c>
      <c r="J202" s="3">
        <v>27184</v>
      </c>
      <c r="K202" s="3">
        <v>232</v>
      </c>
      <c r="L202" s="1" t="s">
        <v>37</v>
      </c>
      <c r="M202" s="1" t="s">
        <v>361</v>
      </c>
      <c r="N202" s="1" t="s">
        <v>17</v>
      </c>
      <c r="O202">
        <f t="shared" si="3"/>
        <v>53</v>
      </c>
      <c r="P202" s="20">
        <f>(Table5[[#This Row],[Likes]]+Table5[[#This Row],[Shares]]+Table5[[#This Row],[Comments]])/Table5[[#This Row],[Impressions]]</f>
        <v>9.7836889180216949E-2</v>
      </c>
      <c r="Q202" s="27">
        <f>Table5[[#This Row],[Likes]]+Table5[[#This Row],[Shares]]+Table5[[#This Row],[Comments]]</f>
        <v>4627</v>
      </c>
    </row>
    <row r="203" spans="1:17" x14ac:dyDescent="0.3">
      <c r="A203" s="1" t="s">
        <v>64</v>
      </c>
      <c r="B203" s="1" t="s">
        <v>14</v>
      </c>
      <c r="C203" s="2">
        <v>45658</v>
      </c>
      <c r="D203" s="1" t="s">
        <v>15</v>
      </c>
      <c r="E203" s="1" t="s">
        <v>25</v>
      </c>
      <c r="F203" s="3">
        <v>4036</v>
      </c>
      <c r="G203" s="3">
        <v>112</v>
      </c>
      <c r="H203" s="3">
        <v>382</v>
      </c>
      <c r="I203" s="3">
        <v>56284</v>
      </c>
      <c r="J203" s="3">
        <v>29440</v>
      </c>
      <c r="K203" s="3">
        <v>279</v>
      </c>
      <c r="L203" s="1" t="s">
        <v>39</v>
      </c>
      <c r="M203" s="1" t="s">
        <v>37</v>
      </c>
      <c r="N203" s="1" t="s">
        <v>17</v>
      </c>
      <c r="O203">
        <f t="shared" si="3"/>
        <v>1</v>
      </c>
      <c r="P203" s="20">
        <f>(Table5[[#This Row],[Likes]]+Table5[[#This Row],[Shares]]+Table5[[#This Row],[Comments]])/Table5[[#This Row],[Impressions]]</f>
        <v>8.0484684812735408E-2</v>
      </c>
      <c r="Q203" s="27">
        <f>Table5[[#This Row],[Likes]]+Table5[[#This Row],[Shares]]+Table5[[#This Row],[Comments]]</f>
        <v>4530</v>
      </c>
    </row>
    <row r="204" spans="1:17" x14ac:dyDescent="0.3">
      <c r="A204" s="1" t="s">
        <v>117</v>
      </c>
      <c r="B204" s="1" t="s">
        <v>23</v>
      </c>
      <c r="C204" s="2">
        <v>45660</v>
      </c>
      <c r="D204" s="1" t="s">
        <v>24</v>
      </c>
      <c r="E204" s="1" t="s">
        <v>34</v>
      </c>
      <c r="F204" s="3">
        <v>4845</v>
      </c>
      <c r="G204" s="3">
        <v>158</v>
      </c>
      <c r="H204" s="3">
        <v>84</v>
      </c>
      <c r="I204" s="3">
        <v>34578</v>
      </c>
      <c r="J204" s="3">
        <v>51480</v>
      </c>
      <c r="K204" s="3">
        <v>180</v>
      </c>
      <c r="L204" s="1" t="s">
        <v>39</v>
      </c>
      <c r="M204" s="1" t="s">
        <v>37</v>
      </c>
      <c r="N204" s="1" t="s">
        <v>17</v>
      </c>
      <c r="O204">
        <f t="shared" si="3"/>
        <v>1</v>
      </c>
      <c r="P204" s="20">
        <f>(Table5[[#This Row],[Likes]]+Table5[[#This Row],[Shares]]+Table5[[#This Row],[Comments]])/Table5[[#This Row],[Impressions]]</f>
        <v>0.1471166637746544</v>
      </c>
      <c r="Q204" s="27">
        <f>Table5[[#This Row],[Likes]]+Table5[[#This Row],[Shares]]+Table5[[#This Row],[Comments]]</f>
        <v>5087</v>
      </c>
    </row>
    <row r="205" spans="1:17" x14ac:dyDescent="0.3">
      <c r="A205" s="1" t="s">
        <v>203</v>
      </c>
      <c r="B205" s="1" t="s">
        <v>29</v>
      </c>
      <c r="C205" s="2">
        <v>45660</v>
      </c>
      <c r="D205" s="1" t="s">
        <v>15</v>
      </c>
      <c r="E205" s="1" t="s">
        <v>25</v>
      </c>
      <c r="F205" s="3">
        <v>3782</v>
      </c>
      <c r="G205" s="3">
        <v>484</v>
      </c>
      <c r="H205" s="3">
        <v>144</v>
      </c>
      <c r="I205" s="3">
        <v>52172</v>
      </c>
      <c r="J205" s="3">
        <v>59386</v>
      </c>
      <c r="K205" s="3">
        <v>175</v>
      </c>
      <c r="L205" s="1" t="s">
        <v>20</v>
      </c>
      <c r="M205" s="1" t="s">
        <v>359</v>
      </c>
      <c r="N205" s="1" t="s">
        <v>21</v>
      </c>
      <c r="O205">
        <f t="shared" si="3"/>
        <v>1</v>
      </c>
      <c r="P205" s="20">
        <f>(Table5[[#This Row],[Likes]]+Table5[[#This Row],[Shares]]+Table5[[#This Row],[Comments]])/Table5[[#This Row],[Impressions]]</f>
        <v>8.4528099363643333E-2</v>
      </c>
      <c r="Q205" s="27">
        <f>Table5[[#This Row],[Likes]]+Table5[[#This Row],[Shares]]+Table5[[#This Row],[Comments]]</f>
        <v>4410</v>
      </c>
    </row>
    <row r="206" spans="1:17" x14ac:dyDescent="0.3">
      <c r="A206" s="1" t="s">
        <v>104</v>
      </c>
      <c r="B206" s="1" t="s">
        <v>23</v>
      </c>
      <c r="C206" s="2">
        <v>45662</v>
      </c>
      <c r="D206" s="1" t="s">
        <v>15</v>
      </c>
      <c r="E206" s="1" t="s">
        <v>27</v>
      </c>
      <c r="F206" s="3">
        <v>4811</v>
      </c>
      <c r="G206" s="3">
        <v>473</v>
      </c>
      <c r="H206" s="3">
        <v>254</v>
      </c>
      <c r="I206" s="3">
        <v>51964</v>
      </c>
      <c r="J206" s="3">
        <v>68795</v>
      </c>
      <c r="K206" s="3">
        <v>107</v>
      </c>
      <c r="L206" s="1" t="s">
        <v>37</v>
      </c>
      <c r="M206" s="1" t="s">
        <v>361</v>
      </c>
      <c r="N206" s="1" t="s">
        <v>17</v>
      </c>
      <c r="O206">
        <f t="shared" si="3"/>
        <v>2</v>
      </c>
      <c r="P206" s="20">
        <f>(Table5[[#This Row],[Likes]]+Table5[[#This Row],[Shares]]+Table5[[#This Row],[Comments]])/Table5[[#This Row],[Impressions]]</f>
        <v>0.10657378184897237</v>
      </c>
      <c r="Q206" s="27">
        <f>Table5[[#This Row],[Likes]]+Table5[[#This Row],[Shares]]+Table5[[#This Row],[Comments]]</f>
        <v>5538</v>
      </c>
    </row>
    <row r="207" spans="1:17" x14ac:dyDescent="0.3">
      <c r="A207" s="1" t="s">
        <v>294</v>
      </c>
      <c r="B207" s="1" t="s">
        <v>23</v>
      </c>
      <c r="C207" s="2">
        <v>45662</v>
      </c>
      <c r="D207" s="1" t="s">
        <v>24</v>
      </c>
      <c r="E207" s="1" t="s">
        <v>19</v>
      </c>
      <c r="F207" s="3">
        <v>3341</v>
      </c>
      <c r="G207" s="3">
        <v>154</v>
      </c>
      <c r="H207" s="3">
        <v>123</v>
      </c>
      <c r="I207" s="3">
        <v>43369</v>
      </c>
      <c r="J207" s="3">
        <v>49035</v>
      </c>
      <c r="K207" s="3">
        <v>128</v>
      </c>
      <c r="L207" s="1" t="s">
        <v>358</v>
      </c>
      <c r="M207" s="1" t="s">
        <v>37</v>
      </c>
      <c r="N207" s="1" t="s">
        <v>17</v>
      </c>
      <c r="O207">
        <f t="shared" si="3"/>
        <v>2</v>
      </c>
      <c r="P207" s="20">
        <f>(Table5[[#This Row],[Likes]]+Table5[[#This Row],[Shares]]+Table5[[#This Row],[Comments]])/Table5[[#This Row],[Impressions]]</f>
        <v>8.3423643616408028E-2</v>
      </c>
      <c r="Q207" s="27">
        <f>Table5[[#This Row],[Likes]]+Table5[[#This Row],[Shares]]+Table5[[#This Row],[Comments]]</f>
        <v>3618</v>
      </c>
    </row>
    <row r="208" spans="1:17" x14ac:dyDescent="0.3">
      <c r="A208" s="1" t="s">
        <v>67</v>
      </c>
      <c r="B208" s="1" t="s">
        <v>14</v>
      </c>
      <c r="C208" s="2">
        <v>45666</v>
      </c>
      <c r="D208" s="1" t="s">
        <v>15</v>
      </c>
      <c r="E208" s="1" t="s">
        <v>25</v>
      </c>
      <c r="F208" s="3">
        <v>1015</v>
      </c>
      <c r="G208" s="3">
        <v>366</v>
      </c>
      <c r="H208" s="3">
        <v>308</v>
      </c>
      <c r="I208" s="3">
        <v>38127</v>
      </c>
      <c r="J208" s="3">
        <v>63790</v>
      </c>
      <c r="K208" s="3">
        <v>287</v>
      </c>
      <c r="L208" s="1" t="s">
        <v>39</v>
      </c>
      <c r="M208" s="1" t="s">
        <v>37</v>
      </c>
      <c r="N208" s="1" t="s">
        <v>17</v>
      </c>
      <c r="O208">
        <f t="shared" si="3"/>
        <v>2</v>
      </c>
      <c r="P208" s="20">
        <f>(Table5[[#This Row],[Likes]]+Table5[[#This Row],[Shares]]+Table5[[#This Row],[Comments]])/Table5[[#This Row],[Impressions]]</f>
        <v>4.4299315445747112E-2</v>
      </c>
      <c r="Q208" s="27">
        <f>Table5[[#This Row],[Likes]]+Table5[[#This Row],[Shares]]+Table5[[#This Row],[Comments]]</f>
        <v>1689</v>
      </c>
    </row>
    <row r="209" spans="1:17" x14ac:dyDescent="0.3">
      <c r="A209" s="1" t="s">
        <v>279</v>
      </c>
      <c r="B209" s="1" t="s">
        <v>23</v>
      </c>
      <c r="C209" s="2">
        <v>45666</v>
      </c>
      <c r="D209" s="1" t="s">
        <v>24</v>
      </c>
      <c r="E209" s="1" t="s">
        <v>45</v>
      </c>
      <c r="F209" s="3">
        <v>3817</v>
      </c>
      <c r="G209" s="3">
        <v>284</v>
      </c>
      <c r="H209" s="3">
        <v>204</v>
      </c>
      <c r="I209" s="3">
        <v>46434</v>
      </c>
      <c r="J209" s="3">
        <v>53396</v>
      </c>
      <c r="K209" s="3">
        <v>104</v>
      </c>
      <c r="L209" s="1" t="s">
        <v>358</v>
      </c>
      <c r="M209" s="1" t="s">
        <v>37</v>
      </c>
      <c r="N209" s="1" t="s">
        <v>17</v>
      </c>
      <c r="O209">
        <f t="shared" si="3"/>
        <v>2</v>
      </c>
      <c r="P209" s="20">
        <f>(Table5[[#This Row],[Likes]]+Table5[[#This Row],[Shares]]+Table5[[#This Row],[Comments]])/Table5[[#This Row],[Impressions]]</f>
        <v>9.2712236723090841E-2</v>
      </c>
      <c r="Q209" s="27">
        <f>Table5[[#This Row],[Likes]]+Table5[[#This Row],[Shares]]+Table5[[#This Row],[Comments]]</f>
        <v>4305</v>
      </c>
    </row>
    <row r="210" spans="1:17" x14ac:dyDescent="0.3">
      <c r="A210" s="1" t="s">
        <v>230</v>
      </c>
      <c r="B210" s="1" t="s">
        <v>14</v>
      </c>
      <c r="C210" s="2">
        <v>45669</v>
      </c>
      <c r="D210" s="1" t="s">
        <v>15</v>
      </c>
      <c r="E210" s="1" t="s">
        <v>43</v>
      </c>
      <c r="F210" s="3">
        <v>1771</v>
      </c>
      <c r="G210" s="3">
        <v>487</v>
      </c>
      <c r="H210" s="3">
        <v>272</v>
      </c>
      <c r="I210" s="3">
        <v>48810</v>
      </c>
      <c r="J210" s="3">
        <v>48084</v>
      </c>
      <c r="K210" s="3">
        <v>272</v>
      </c>
      <c r="L210" s="1" t="s">
        <v>39</v>
      </c>
      <c r="M210" s="1" t="s">
        <v>37</v>
      </c>
      <c r="N210" s="1" t="s">
        <v>17</v>
      </c>
      <c r="O210">
        <f t="shared" si="3"/>
        <v>3</v>
      </c>
      <c r="P210" s="20">
        <f>(Table5[[#This Row],[Likes]]+Table5[[#This Row],[Shares]]+Table5[[#This Row],[Comments]])/Table5[[#This Row],[Impressions]]</f>
        <v>5.1833640647408315E-2</v>
      </c>
      <c r="Q210" s="27">
        <f>Table5[[#This Row],[Likes]]+Table5[[#This Row],[Shares]]+Table5[[#This Row],[Comments]]</f>
        <v>2530</v>
      </c>
    </row>
    <row r="211" spans="1:17" x14ac:dyDescent="0.3">
      <c r="A211" s="1" t="s">
        <v>250</v>
      </c>
      <c r="B211" s="1" t="s">
        <v>23</v>
      </c>
      <c r="C211" s="2">
        <v>45669</v>
      </c>
      <c r="D211" s="1" t="s">
        <v>15</v>
      </c>
      <c r="E211" s="1" t="s">
        <v>30</v>
      </c>
      <c r="F211" s="3">
        <v>1765</v>
      </c>
      <c r="G211" s="3">
        <v>285</v>
      </c>
      <c r="H211" s="3">
        <v>100</v>
      </c>
      <c r="I211" s="3">
        <v>41313</v>
      </c>
      <c r="J211" s="3">
        <v>56575</v>
      </c>
      <c r="K211" s="3">
        <v>174</v>
      </c>
      <c r="L211" s="1" t="s">
        <v>39</v>
      </c>
      <c r="M211" s="1" t="s">
        <v>361</v>
      </c>
      <c r="N211" s="1" t="s">
        <v>21</v>
      </c>
      <c r="O211">
        <f t="shared" si="3"/>
        <v>3</v>
      </c>
      <c r="P211" s="20">
        <f>(Table5[[#This Row],[Likes]]+Table5[[#This Row],[Shares]]+Table5[[#This Row],[Comments]])/Table5[[#This Row],[Impressions]]</f>
        <v>5.2041730205988429E-2</v>
      </c>
      <c r="Q211" s="27">
        <f>Table5[[#This Row],[Likes]]+Table5[[#This Row],[Shares]]+Table5[[#This Row],[Comments]]</f>
        <v>2150</v>
      </c>
    </row>
    <row r="212" spans="1:17" x14ac:dyDescent="0.3">
      <c r="A212" s="1" t="s">
        <v>141</v>
      </c>
      <c r="B212" s="1" t="s">
        <v>23</v>
      </c>
      <c r="C212" s="2">
        <v>45670</v>
      </c>
      <c r="D212" s="1" t="s">
        <v>15</v>
      </c>
      <c r="E212" s="1" t="s">
        <v>30</v>
      </c>
      <c r="F212" s="3">
        <v>4090</v>
      </c>
      <c r="G212" s="3">
        <v>209</v>
      </c>
      <c r="H212" s="3">
        <v>278</v>
      </c>
      <c r="I212" s="3">
        <v>52853</v>
      </c>
      <c r="J212" s="3">
        <v>57084</v>
      </c>
      <c r="K212" s="3">
        <v>102</v>
      </c>
      <c r="L212" s="1" t="s">
        <v>39</v>
      </c>
      <c r="M212" s="1" t="s">
        <v>361</v>
      </c>
      <c r="N212" s="1" t="s">
        <v>21</v>
      </c>
      <c r="O212">
        <f t="shared" si="3"/>
        <v>3</v>
      </c>
      <c r="P212" s="20">
        <f>(Table5[[#This Row],[Likes]]+Table5[[#This Row],[Shares]]+Table5[[#This Row],[Comments]])/Table5[[#This Row],[Impressions]]</f>
        <v>8.6598679355949518E-2</v>
      </c>
      <c r="Q212" s="27">
        <f>Table5[[#This Row],[Likes]]+Table5[[#This Row],[Shares]]+Table5[[#This Row],[Comments]]</f>
        <v>4577</v>
      </c>
    </row>
    <row r="213" spans="1:17" x14ac:dyDescent="0.3">
      <c r="A213" s="1" t="s">
        <v>249</v>
      </c>
      <c r="B213" s="1" t="s">
        <v>29</v>
      </c>
      <c r="C213" s="2">
        <v>45672</v>
      </c>
      <c r="D213" s="1" t="s">
        <v>15</v>
      </c>
      <c r="E213" s="1" t="s">
        <v>45</v>
      </c>
      <c r="F213" s="3">
        <v>2599</v>
      </c>
      <c r="G213" s="3">
        <v>324</v>
      </c>
      <c r="H213" s="3">
        <v>182</v>
      </c>
      <c r="I213" s="3">
        <v>37525</v>
      </c>
      <c r="J213" s="3">
        <v>37216</v>
      </c>
      <c r="K213" s="3">
        <v>186</v>
      </c>
      <c r="L213" s="1" t="s">
        <v>20</v>
      </c>
      <c r="M213" s="1" t="s">
        <v>359</v>
      </c>
      <c r="N213" s="1" t="s">
        <v>21</v>
      </c>
      <c r="O213">
        <f t="shared" si="3"/>
        <v>3</v>
      </c>
      <c r="P213" s="20">
        <f>(Table5[[#This Row],[Likes]]+Table5[[#This Row],[Shares]]+Table5[[#This Row],[Comments]])/Table5[[#This Row],[Impressions]]</f>
        <v>8.2744836775483013E-2</v>
      </c>
      <c r="Q213" s="27">
        <f>Table5[[#This Row],[Likes]]+Table5[[#This Row],[Shares]]+Table5[[#This Row],[Comments]]</f>
        <v>3105</v>
      </c>
    </row>
    <row r="214" spans="1:17" x14ac:dyDescent="0.3">
      <c r="A214" s="1" t="s">
        <v>224</v>
      </c>
      <c r="B214" s="1" t="s">
        <v>14</v>
      </c>
      <c r="C214" s="2">
        <v>45673</v>
      </c>
      <c r="D214" s="1" t="s">
        <v>15</v>
      </c>
      <c r="E214" s="1" t="s">
        <v>30</v>
      </c>
      <c r="F214" s="3">
        <v>2605</v>
      </c>
      <c r="G214" s="3">
        <v>282</v>
      </c>
      <c r="H214" s="3">
        <v>148</v>
      </c>
      <c r="I214" s="3">
        <v>32201</v>
      </c>
      <c r="J214" s="3">
        <v>49583</v>
      </c>
      <c r="K214" s="3">
        <v>241</v>
      </c>
      <c r="L214" s="1" t="s">
        <v>39</v>
      </c>
      <c r="M214" s="1" t="s">
        <v>37</v>
      </c>
      <c r="N214" s="1" t="s">
        <v>17</v>
      </c>
      <c r="O214">
        <f t="shared" si="3"/>
        <v>3</v>
      </c>
      <c r="P214" s="20">
        <f>(Table5[[#This Row],[Likes]]+Table5[[#This Row],[Shares]]+Table5[[#This Row],[Comments]])/Table5[[#This Row],[Impressions]]</f>
        <v>9.4251731312692155E-2</v>
      </c>
      <c r="Q214" s="27">
        <f>Table5[[#This Row],[Likes]]+Table5[[#This Row],[Shares]]+Table5[[#This Row],[Comments]]</f>
        <v>3035</v>
      </c>
    </row>
    <row r="215" spans="1:17" x14ac:dyDescent="0.3">
      <c r="A215" s="1" t="s">
        <v>154</v>
      </c>
      <c r="B215" s="1" t="s">
        <v>14</v>
      </c>
      <c r="C215" s="2">
        <v>45674</v>
      </c>
      <c r="D215" s="1" t="s">
        <v>15</v>
      </c>
      <c r="E215" s="1" t="s">
        <v>77</v>
      </c>
      <c r="F215" s="3">
        <v>2266</v>
      </c>
      <c r="G215" s="3">
        <v>126</v>
      </c>
      <c r="H215" s="3">
        <v>140</v>
      </c>
      <c r="I215" s="3">
        <v>53759</v>
      </c>
      <c r="J215" s="3">
        <v>46834</v>
      </c>
      <c r="K215" s="3">
        <v>277</v>
      </c>
      <c r="L215" s="1" t="s">
        <v>20</v>
      </c>
      <c r="M215" s="1" t="s">
        <v>361</v>
      </c>
      <c r="N215" s="1" t="s">
        <v>21</v>
      </c>
      <c r="O215">
        <f t="shared" si="3"/>
        <v>3</v>
      </c>
      <c r="P215" s="20">
        <f>(Table5[[#This Row],[Likes]]+Table5[[#This Row],[Shares]]+Table5[[#This Row],[Comments]])/Table5[[#This Row],[Impressions]]</f>
        <v>4.7099090384865788E-2</v>
      </c>
      <c r="Q215" s="27">
        <f>Table5[[#This Row],[Likes]]+Table5[[#This Row],[Shares]]+Table5[[#This Row],[Comments]]</f>
        <v>2532</v>
      </c>
    </row>
    <row r="216" spans="1:17" x14ac:dyDescent="0.3">
      <c r="A216" s="1" t="s">
        <v>293</v>
      </c>
      <c r="B216" s="1" t="s">
        <v>23</v>
      </c>
      <c r="C216" s="2">
        <v>45676</v>
      </c>
      <c r="D216" s="1" t="s">
        <v>24</v>
      </c>
      <c r="E216" s="1" t="s">
        <v>30</v>
      </c>
      <c r="F216" s="3">
        <v>1651</v>
      </c>
      <c r="G216" s="3">
        <v>480</v>
      </c>
      <c r="H216" s="3">
        <v>282</v>
      </c>
      <c r="I216" s="3">
        <v>32140</v>
      </c>
      <c r="J216" s="3">
        <v>70560</v>
      </c>
      <c r="K216" s="3">
        <v>138</v>
      </c>
      <c r="L216" s="1" t="s">
        <v>39</v>
      </c>
      <c r="M216" s="1" t="s">
        <v>37</v>
      </c>
      <c r="N216" s="1" t="s">
        <v>17</v>
      </c>
      <c r="O216">
        <f t="shared" si="3"/>
        <v>4</v>
      </c>
      <c r="P216" s="20">
        <f>(Table5[[#This Row],[Likes]]+Table5[[#This Row],[Shares]]+Table5[[#This Row],[Comments]])/Table5[[#This Row],[Impressions]]</f>
        <v>7.5077784691972627E-2</v>
      </c>
      <c r="Q216" s="27">
        <f>Table5[[#This Row],[Likes]]+Table5[[#This Row],[Shares]]+Table5[[#This Row],[Comments]]</f>
        <v>2413</v>
      </c>
    </row>
    <row r="217" spans="1:17" x14ac:dyDescent="0.3">
      <c r="A217" s="1" t="s">
        <v>313</v>
      </c>
      <c r="B217" s="1" t="s">
        <v>23</v>
      </c>
      <c r="C217" s="2">
        <v>45676</v>
      </c>
      <c r="D217" s="1" t="s">
        <v>24</v>
      </c>
      <c r="E217" s="1" t="s">
        <v>25</v>
      </c>
      <c r="F217" s="3">
        <v>3507</v>
      </c>
      <c r="G217" s="3">
        <v>295</v>
      </c>
      <c r="H217" s="3">
        <v>371</v>
      </c>
      <c r="I217" s="3">
        <v>20410</v>
      </c>
      <c r="J217" s="3">
        <v>53965</v>
      </c>
      <c r="K217" s="3">
        <v>212</v>
      </c>
      <c r="L217" s="1" t="s">
        <v>39</v>
      </c>
      <c r="M217" s="1" t="s">
        <v>37</v>
      </c>
      <c r="N217" s="1" t="s">
        <v>17</v>
      </c>
      <c r="O217">
        <f t="shared" si="3"/>
        <v>4</v>
      </c>
      <c r="P217" s="20">
        <f>(Table5[[#This Row],[Likes]]+Table5[[#This Row],[Shares]]+Table5[[#This Row],[Comments]])/Table5[[#This Row],[Impressions]]</f>
        <v>0.20445859872611466</v>
      </c>
      <c r="Q217" s="27">
        <f>Table5[[#This Row],[Likes]]+Table5[[#This Row],[Shares]]+Table5[[#This Row],[Comments]]</f>
        <v>4173</v>
      </c>
    </row>
    <row r="218" spans="1:17" x14ac:dyDescent="0.3">
      <c r="A218" s="1" t="s">
        <v>140</v>
      </c>
      <c r="B218" s="1" t="s">
        <v>23</v>
      </c>
      <c r="C218" s="2">
        <v>45677</v>
      </c>
      <c r="D218" s="1" t="s">
        <v>24</v>
      </c>
      <c r="E218" s="1" t="s">
        <v>25</v>
      </c>
      <c r="F218" s="3">
        <v>4619</v>
      </c>
      <c r="G218" s="3">
        <v>272</v>
      </c>
      <c r="H218" s="3">
        <v>57</v>
      </c>
      <c r="I218" s="3">
        <v>21334</v>
      </c>
      <c r="J218" s="3">
        <v>46292</v>
      </c>
      <c r="K218" s="3">
        <v>91</v>
      </c>
      <c r="L218" s="1" t="s">
        <v>39</v>
      </c>
      <c r="M218" s="1" t="s">
        <v>37</v>
      </c>
      <c r="N218" s="1" t="s">
        <v>17</v>
      </c>
      <c r="O218">
        <f t="shared" si="3"/>
        <v>4</v>
      </c>
      <c r="P218" s="20">
        <f>(Table5[[#This Row],[Likes]]+Table5[[#This Row],[Shares]]+Table5[[#This Row],[Comments]])/Table5[[#This Row],[Impressions]]</f>
        <v>0.23193025217961938</v>
      </c>
      <c r="Q218" s="27">
        <f>Table5[[#This Row],[Likes]]+Table5[[#This Row],[Shares]]+Table5[[#This Row],[Comments]]</f>
        <v>4948</v>
      </c>
    </row>
    <row r="219" spans="1:17" x14ac:dyDescent="0.3">
      <c r="A219" s="1" t="s">
        <v>112</v>
      </c>
      <c r="B219" s="1" t="s">
        <v>23</v>
      </c>
      <c r="C219" s="2">
        <v>45678</v>
      </c>
      <c r="D219" s="1" t="s">
        <v>24</v>
      </c>
      <c r="E219" s="1" t="s">
        <v>16</v>
      </c>
      <c r="F219" s="3">
        <v>2494</v>
      </c>
      <c r="G219" s="3">
        <v>494</v>
      </c>
      <c r="H219" s="3">
        <v>55</v>
      </c>
      <c r="I219" s="3">
        <v>22580</v>
      </c>
      <c r="J219" s="3">
        <v>22214</v>
      </c>
      <c r="K219" s="3">
        <v>109</v>
      </c>
      <c r="L219" s="1" t="s">
        <v>358</v>
      </c>
      <c r="M219" s="1" t="s">
        <v>37</v>
      </c>
      <c r="N219" s="1" t="s">
        <v>17</v>
      </c>
      <c r="O219">
        <f t="shared" si="3"/>
        <v>4</v>
      </c>
      <c r="P219" s="20">
        <f>(Table5[[#This Row],[Likes]]+Table5[[#This Row],[Shares]]+Table5[[#This Row],[Comments]])/Table5[[#This Row],[Impressions]]</f>
        <v>0.13476527900797167</v>
      </c>
      <c r="Q219" s="27">
        <f>Table5[[#This Row],[Likes]]+Table5[[#This Row],[Shares]]+Table5[[#This Row],[Comments]]</f>
        <v>3043</v>
      </c>
    </row>
    <row r="220" spans="1:17" x14ac:dyDescent="0.3">
      <c r="A220" s="1" t="s">
        <v>323</v>
      </c>
      <c r="B220" s="1" t="s">
        <v>14</v>
      </c>
      <c r="C220" s="2">
        <v>45678</v>
      </c>
      <c r="D220" s="1" t="s">
        <v>24</v>
      </c>
      <c r="E220" s="1" t="s">
        <v>25</v>
      </c>
      <c r="F220" s="3">
        <v>4918</v>
      </c>
      <c r="G220" s="3">
        <v>440</v>
      </c>
      <c r="H220" s="3">
        <v>149</v>
      </c>
      <c r="I220" s="3">
        <v>53269</v>
      </c>
      <c r="J220" s="3">
        <v>64370</v>
      </c>
      <c r="K220" s="3">
        <v>269</v>
      </c>
      <c r="L220" s="1" t="s">
        <v>37</v>
      </c>
      <c r="M220" s="1" t="s">
        <v>361</v>
      </c>
      <c r="N220" s="1" t="s">
        <v>49</v>
      </c>
      <c r="O220">
        <f t="shared" si="3"/>
        <v>4</v>
      </c>
      <c r="P220" s="20">
        <f>(Table5[[#This Row],[Likes]]+Table5[[#This Row],[Shares]]+Table5[[#This Row],[Comments]])/Table5[[#This Row],[Impressions]]</f>
        <v>0.10338095327488783</v>
      </c>
      <c r="Q220" s="27">
        <f>Table5[[#This Row],[Likes]]+Table5[[#This Row],[Shares]]+Table5[[#This Row],[Comments]]</f>
        <v>5507</v>
      </c>
    </row>
    <row r="221" spans="1:17" x14ac:dyDescent="0.3">
      <c r="A221" s="1" t="s">
        <v>98</v>
      </c>
      <c r="B221" s="1" t="s">
        <v>23</v>
      </c>
      <c r="C221" s="2">
        <v>45679</v>
      </c>
      <c r="D221" s="1" t="s">
        <v>24</v>
      </c>
      <c r="E221" s="1" t="s">
        <v>25</v>
      </c>
      <c r="F221" s="3">
        <v>4478</v>
      </c>
      <c r="G221" s="3">
        <v>101</v>
      </c>
      <c r="H221" s="3">
        <v>121</v>
      </c>
      <c r="I221" s="3">
        <v>51035</v>
      </c>
      <c r="J221" s="3">
        <v>58207</v>
      </c>
      <c r="K221" s="3">
        <v>205</v>
      </c>
      <c r="L221" s="1" t="s">
        <v>358</v>
      </c>
      <c r="M221" s="1" t="s">
        <v>37</v>
      </c>
      <c r="N221" s="1" t="s">
        <v>17</v>
      </c>
      <c r="O221">
        <f t="shared" si="3"/>
        <v>4</v>
      </c>
      <c r="P221" s="20">
        <f>(Table5[[#This Row],[Likes]]+Table5[[#This Row],[Shares]]+Table5[[#This Row],[Comments]])/Table5[[#This Row],[Impressions]]</f>
        <v>9.2093661212893113E-2</v>
      </c>
      <c r="Q221" s="27">
        <f>Table5[[#This Row],[Likes]]+Table5[[#This Row],[Shares]]+Table5[[#This Row],[Comments]]</f>
        <v>4700</v>
      </c>
    </row>
    <row r="222" spans="1:17" x14ac:dyDescent="0.3">
      <c r="A222" s="1" t="s">
        <v>75</v>
      </c>
      <c r="B222" s="1" t="s">
        <v>14</v>
      </c>
      <c r="C222" s="2">
        <v>45683</v>
      </c>
      <c r="D222" s="1" t="s">
        <v>24</v>
      </c>
      <c r="E222" s="1" t="s">
        <v>32</v>
      </c>
      <c r="F222" s="3">
        <v>3451</v>
      </c>
      <c r="G222" s="3">
        <v>363</v>
      </c>
      <c r="H222" s="3">
        <v>393</v>
      </c>
      <c r="I222" s="3">
        <v>44853</v>
      </c>
      <c r="J222" s="3">
        <v>69032</v>
      </c>
      <c r="K222" s="3">
        <v>211</v>
      </c>
      <c r="L222" s="1" t="s">
        <v>37</v>
      </c>
      <c r="M222" s="1" t="s">
        <v>361</v>
      </c>
      <c r="N222" s="1" t="s">
        <v>49</v>
      </c>
      <c r="O222">
        <f t="shared" si="3"/>
        <v>5</v>
      </c>
      <c r="P222" s="20">
        <f>(Table5[[#This Row],[Likes]]+Table5[[#This Row],[Shares]]+Table5[[#This Row],[Comments]])/Table5[[#This Row],[Impressions]]</f>
        <v>9.379528682585335E-2</v>
      </c>
      <c r="Q222" s="27">
        <f>Table5[[#This Row],[Likes]]+Table5[[#This Row],[Shares]]+Table5[[#This Row],[Comments]]</f>
        <v>4207</v>
      </c>
    </row>
    <row r="223" spans="1:17" x14ac:dyDescent="0.3">
      <c r="A223" s="1" t="s">
        <v>201</v>
      </c>
      <c r="B223" s="1" t="s">
        <v>29</v>
      </c>
      <c r="C223" s="2">
        <v>45684</v>
      </c>
      <c r="D223" s="1" t="s">
        <v>15</v>
      </c>
      <c r="E223" s="1" t="s">
        <v>27</v>
      </c>
      <c r="F223" s="3">
        <v>4294</v>
      </c>
      <c r="G223" s="3">
        <v>423</v>
      </c>
      <c r="H223" s="3">
        <v>93</v>
      </c>
      <c r="I223" s="3">
        <v>29828</v>
      </c>
      <c r="J223" s="3">
        <v>73144</v>
      </c>
      <c r="K223" s="3">
        <v>298</v>
      </c>
      <c r="L223" s="1" t="s">
        <v>20</v>
      </c>
      <c r="M223" s="1" t="s">
        <v>359</v>
      </c>
      <c r="N223" s="1" t="s">
        <v>21</v>
      </c>
      <c r="O223">
        <f t="shared" si="3"/>
        <v>5</v>
      </c>
      <c r="P223" s="20">
        <f>(Table5[[#This Row],[Likes]]+Table5[[#This Row],[Shares]]+Table5[[#This Row],[Comments]])/Table5[[#This Row],[Impressions]]</f>
        <v>0.1612578785034196</v>
      </c>
      <c r="Q223" s="27">
        <f>Table5[[#This Row],[Likes]]+Table5[[#This Row],[Shares]]+Table5[[#This Row],[Comments]]</f>
        <v>4810</v>
      </c>
    </row>
    <row r="224" spans="1:17" x14ac:dyDescent="0.3">
      <c r="A224" s="1" t="s">
        <v>319</v>
      </c>
      <c r="B224" s="1" t="s">
        <v>29</v>
      </c>
      <c r="C224" s="2">
        <v>45686</v>
      </c>
      <c r="D224" s="1" t="s">
        <v>15</v>
      </c>
      <c r="E224" s="1" t="s">
        <v>25</v>
      </c>
      <c r="F224" s="3">
        <v>1334</v>
      </c>
      <c r="G224" s="3">
        <v>357</v>
      </c>
      <c r="H224" s="3">
        <v>257</v>
      </c>
      <c r="I224" s="3">
        <v>56910</v>
      </c>
      <c r="J224" s="3">
        <v>70606</v>
      </c>
      <c r="K224" s="3">
        <v>228</v>
      </c>
      <c r="L224" s="1" t="s">
        <v>20</v>
      </c>
      <c r="M224" s="1" t="s">
        <v>359</v>
      </c>
      <c r="N224" s="1" t="s">
        <v>21</v>
      </c>
      <c r="O224">
        <f t="shared" si="3"/>
        <v>5</v>
      </c>
      <c r="P224" s="20">
        <f>(Table5[[#This Row],[Likes]]+Table5[[#This Row],[Shares]]+Table5[[#This Row],[Comments]])/Table5[[#This Row],[Impressions]]</f>
        <v>3.4229485151994379E-2</v>
      </c>
      <c r="Q224" s="27">
        <f>Table5[[#This Row],[Likes]]+Table5[[#This Row],[Shares]]+Table5[[#This Row],[Comments]]</f>
        <v>1948</v>
      </c>
    </row>
    <row r="225" spans="1:17" x14ac:dyDescent="0.3">
      <c r="A225" s="1" t="s">
        <v>18</v>
      </c>
      <c r="B225" s="1" t="s">
        <v>14</v>
      </c>
      <c r="C225" s="2">
        <v>45689</v>
      </c>
      <c r="D225" s="1" t="s">
        <v>15</v>
      </c>
      <c r="E225" s="1" t="s">
        <v>19</v>
      </c>
      <c r="F225" s="3">
        <v>1934</v>
      </c>
      <c r="G225" s="3">
        <v>210</v>
      </c>
      <c r="H225" s="3">
        <v>393</v>
      </c>
      <c r="I225" s="3">
        <v>29129</v>
      </c>
      <c r="J225" s="3">
        <v>73287</v>
      </c>
      <c r="K225" s="3">
        <v>273</v>
      </c>
      <c r="L225" s="1" t="s">
        <v>20</v>
      </c>
      <c r="M225" s="1" t="s">
        <v>361</v>
      </c>
      <c r="N225" s="1" t="s">
        <v>21</v>
      </c>
      <c r="O225">
        <f t="shared" si="3"/>
        <v>5</v>
      </c>
      <c r="P225" s="20">
        <f>(Table5[[#This Row],[Likes]]+Table5[[#This Row],[Shares]]+Table5[[#This Row],[Comments]])/Table5[[#This Row],[Impressions]]</f>
        <v>8.7095334546328396E-2</v>
      </c>
      <c r="Q225" s="27">
        <f>Table5[[#This Row],[Likes]]+Table5[[#This Row],[Shares]]+Table5[[#This Row],[Comments]]</f>
        <v>2537</v>
      </c>
    </row>
    <row r="226" spans="1:17" x14ac:dyDescent="0.3">
      <c r="A226" s="1" t="s">
        <v>232</v>
      </c>
      <c r="B226" s="1" t="s">
        <v>23</v>
      </c>
      <c r="C226" s="2">
        <v>45689</v>
      </c>
      <c r="D226" s="1" t="s">
        <v>24</v>
      </c>
      <c r="E226" s="1" t="s">
        <v>77</v>
      </c>
      <c r="F226" s="3">
        <v>1079</v>
      </c>
      <c r="G226" s="3">
        <v>265</v>
      </c>
      <c r="H226" s="3">
        <v>190</v>
      </c>
      <c r="I226" s="3">
        <v>43786</v>
      </c>
      <c r="J226" s="3">
        <v>72428</v>
      </c>
      <c r="K226" s="3">
        <v>222</v>
      </c>
      <c r="L226" s="1" t="s">
        <v>39</v>
      </c>
      <c r="M226" s="1" t="s">
        <v>37</v>
      </c>
      <c r="N226" s="1" t="s">
        <v>17</v>
      </c>
      <c r="O226">
        <f t="shared" si="3"/>
        <v>5</v>
      </c>
      <c r="P226" s="20">
        <f>(Table5[[#This Row],[Likes]]+Table5[[#This Row],[Shares]]+Table5[[#This Row],[Comments]])/Table5[[#This Row],[Impressions]]</f>
        <v>3.5034029141734799E-2</v>
      </c>
      <c r="Q226" s="27">
        <f>Table5[[#This Row],[Likes]]+Table5[[#This Row],[Shares]]+Table5[[#This Row],[Comments]]</f>
        <v>1534</v>
      </c>
    </row>
    <row r="227" spans="1:17" x14ac:dyDescent="0.3">
      <c r="A227" s="1" t="s">
        <v>288</v>
      </c>
      <c r="B227" s="1" t="s">
        <v>23</v>
      </c>
      <c r="C227" s="2">
        <v>45691</v>
      </c>
      <c r="D227" s="1" t="s">
        <v>15</v>
      </c>
      <c r="E227" s="1" t="s">
        <v>32</v>
      </c>
      <c r="F227" s="3">
        <v>4995</v>
      </c>
      <c r="G227" s="3">
        <v>231</v>
      </c>
      <c r="H227" s="3">
        <v>94</v>
      </c>
      <c r="I227" s="3">
        <v>34431</v>
      </c>
      <c r="J227" s="3">
        <v>32560</v>
      </c>
      <c r="K227" s="3">
        <v>262</v>
      </c>
      <c r="L227" s="1" t="s">
        <v>37</v>
      </c>
      <c r="M227" s="1" t="s">
        <v>361</v>
      </c>
      <c r="N227" s="1" t="s">
        <v>17</v>
      </c>
      <c r="O227">
        <f t="shared" si="3"/>
        <v>6</v>
      </c>
      <c r="P227" s="20">
        <f>(Table5[[#This Row],[Likes]]+Table5[[#This Row],[Shares]]+Table5[[#This Row],[Comments]])/Table5[[#This Row],[Impressions]]</f>
        <v>0.15451192239551567</v>
      </c>
      <c r="Q227" s="27">
        <f>Table5[[#This Row],[Likes]]+Table5[[#This Row],[Shares]]+Table5[[#This Row],[Comments]]</f>
        <v>5320</v>
      </c>
    </row>
    <row r="228" spans="1:17" x14ac:dyDescent="0.3">
      <c r="A228" s="1" t="s">
        <v>311</v>
      </c>
      <c r="B228" s="1" t="s">
        <v>14</v>
      </c>
      <c r="C228" s="2">
        <v>45691</v>
      </c>
      <c r="D228" s="1" t="s">
        <v>24</v>
      </c>
      <c r="E228" s="1" t="s">
        <v>25</v>
      </c>
      <c r="F228" s="3">
        <v>1205</v>
      </c>
      <c r="G228" s="3">
        <v>486</v>
      </c>
      <c r="H228" s="3">
        <v>269</v>
      </c>
      <c r="I228" s="3">
        <v>23341</v>
      </c>
      <c r="J228" s="3">
        <v>42411</v>
      </c>
      <c r="K228" s="3">
        <v>184</v>
      </c>
      <c r="L228" s="1" t="s">
        <v>37</v>
      </c>
      <c r="M228" s="1" t="s">
        <v>361</v>
      </c>
      <c r="N228" s="1" t="s">
        <v>49</v>
      </c>
      <c r="O228">
        <f t="shared" si="3"/>
        <v>6</v>
      </c>
      <c r="P228" s="20">
        <f>(Table5[[#This Row],[Likes]]+Table5[[#This Row],[Shares]]+Table5[[#This Row],[Comments]])/Table5[[#This Row],[Impressions]]</f>
        <v>8.3972409065592737E-2</v>
      </c>
      <c r="Q228" s="27">
        <f>Table5[[#This Row],[Likes]]+Table5[[#This Row],[Shares]]+Table5[[#This Row],[Comments]]</f>
        <v>1960</v>
      </c>
    </row>
    <row r="229" spans="1:17" x14ac:dyDescent="0.3">
      <c r="A229" s="1" t="s">
        <v>82</v>
      </c>
      <c r="B229" s="1" t="s">
        <v>14</v>
      </c>
      <c r="C229" s="2">
        <v>45693</v>
      </c>
      <c r="D229" s="1" t="s">
        <v>24</v>
      </c>
      <c r="E229" s="1" t="s">
        <v>30</v>
      </c>
      <c r="F229" s="3">
        <v>3074</v>
      </c>
      <c r="G229" s="3">
        <v>371</v>
      </c>
      <c r="H229" s="3">
        <v>348</v>
      </c>
      <c r="I229" s="3">
        <v>24104</v>
      </c>
      <c r="J229" s="3">
        <v>57803</v>
      </c>
      <c r="K229" s="3">
        <v>213</v>
      </c>
      <c r="L229" s="1" t="s">
        <v>37</v>
      </c>
      <c r="M229" s="1" t="s">
        <v>361</v>
      </c>
      <c r="N229" s="1" t="s">
        <v>49</v>
      </c>
      <c r="O229">
        <f t="shared" si="3"/>
        <v>6</v>
      </c>
      <c r="P229" s="20">
        <f>(Table5[[#This Row],[Likes]]+Table5[[#This Row],[Shares]]+Table5[[#This Row],[Comments]])/Table5[[#This Row],[Impressions]]</f>
        <v>0.15735977431131762</v>
      </c>
      <c r="Q229" s="27">
        <f>Table5[[#This Row],[Likes]]+Table5[[#This Row],[Shares]]+Table5[[#This Row],[Comments]]</f>
        <v>3793</v>
      </c>
    </row>
    <row r="230" spans="1:17" x14ac:dyDescent="0.3">
      <c r="A230" s="1" t="s">
        <v>305</v>
      </c>
      <c r="B230" s="1" t="s">
        <v>23</v>
      </c>
      <c r="C230" s="2">
        <v>45693</v>
      </c>
      <c r="D230" s="1" t="s">
        <v>24</v>
      </c>
      <c r="E230" s="1" t="s">
        <v>16</v>
      </c>
      <c r="F230" s="3">
        <v>3029</v>
      </c>
      <c r="G230" s="3">
        <v>440</v>
      </c>
      <c r="H230" s="3">
        <v>66</v>
      </c>
      <c r="I230" s="3">
        <v>23815</v>
      </c>
      <c r="J230" s="3">
        <v>47895</v>
      </c>
      <c r="K230" s="3">
        <v>210</v>
      </c>
      <c r="L230" s="1" t="s">
        <v>20</v>
      </c>
      <c r="M230" s="1" t="s">
        <v>358</v>
      </c>
      <c r="N230" s="1" t="s">
        <v>17</v>
      </c>
      <c r="O230">
        <f t="shared" si="3"/>
        <v>6</v>
      </c>
      <c r="P230" s="20">
        <f>(Table5[[#This Row],[Likes]]+Table5[[#This Row],[Shares]]+Table5[[#This Row],[Comments]])/Table5[[#This Row],[Impressions]]</f>
        <v>0.14843585975225698</v>
      </c>
      <c r="Q230" s="27">
        <f>Table5[[#This Row],[Likes]]+Table5[[#This Row],[Shares]]+Table5[[#This Row],[Comments]]</f>
        <v>3535</v>
      </c>
    </row>
    <row r="231" spans="1:17" x14ac:dyDescent="0.3">
      <c r="A231" s="1" t="s">
        <v>182</v>
      </c>
      <c r="B231" s="1" t="s">
        <v>23</v>
      </c>
      <c r="C231" s="2">
        <v>45696</v>
      </c>
      <c r="D231" s="1" t="s">
        <v>24</v>
      </c>
      <c r="E231" s="1" t="s">
        <v>45</v>
      </c>
      <c r="F231" s="3">
        <v>4752</v>
      </c>
      <c r="G231" s="3">
        <v>334</v>
      </c>
      <c r="H231" s="3">
        <v>56</v>
      </c>
      <c r="I231" s="3">
        <v>48017</v>
      </c>
      <c r="J231" s="3">
        <v>55534</v>
      </c>
      <c r="K231" s="3">
        <v>270</v>
      </c>
      <c r="L231" s="1" t="s">
        <v>20</v>
      </c>
      <c r="M231" s="1" t="s">
        <v>358</v>
      </c>
      <c r="N231" s="1" t="s">
        <v>17</v>
      </c>
      <c r="O231">
        <f t="shared" si="3"/>
        <v>6</v>
      </c>
      <c r="P231" s="20">
        <f>(Table5[[#This Row],[Likes]]+Table5[[#This Row],[Shares]]+Table5[[#This Row],[Comments]])/Table5[[#This Row],[Impressions]]</f>
        <v>0.10708707332819627</v>
      </c>
      <c r="Q231" s="27">
        <f>Table5[[#This Row],[Likes]]+Table5[[#This Row],[Shares]]+Table5[[#This Row],[Comments]]</f>
        <v>5142</v>
      </c>
    </row>
    <row r="232" spans="1:17" x14ac:dyDescent="0.3">
      <c r="A232" s="1" t="s">
        <v>76</v>
      </c>
      <c r="B232" s="1" t="s">
        <v>14</v>
      </c>
      <c r="C232" s="2">
        <v>45702</v>
      </c>
      <c r="D232" s="1" t="s">
        <v>15</v>
      </c>
      <c r="E232" s="1" t="s">
        <v>77</v>
      </c>
      <c r="F232" s="3">
        <v>4891</v>
      </c>
      <c r="G232" s="3">
        <v>450</v>
      </c>
      <c r="H232" s="3">
        <v>387</v>
      </c>
      <c r="I232" s="3">
        <v>48746</v>
      </c>
      <c r="J232" s="3">
        <v>37312</v>
      </c>
      <c r="K232" s="3">
        <v>154</v>
      </c>
      <c r="L232" s="1" t="s">
        <v>39</v>
      </c>
      <c r="M232" s="1" t="s">
        <v>37</v>
      </c>
      <c r="N232" s="1" t="s">
        <v>17</v>
      </c>
      <c r="O232">
        <f t="shared" si="3"/>
        <v>7</v>
      </c>
      <c r="P232" s="20">
        <f>(Table5[[#This Row],[Likes]]+Table5[[#This Row],[Shares]]+Table5[[#This Row],[Comments]])/Table5[[#This Row],[Impressions]]</f>
        <v>0.11750707750379519</v>
      </c>
      <c r="Q232" s="27">
        <f>Table5[[#This Row],[Likes]]+Table5[[#This Row],[Shares]]+Table5[[#This Row],[Comments]]</f>
        <v>5728</v>
      </c>
    </row>
    <row r="233" spans="1:17" x14ac:dyDescent="0.3">
      <c r="A233" s="1" t="s">
        <v>178</v>
      </c>
      <c r="B233" s="1" t="s">
        <v>14</v>
      </c>
      <c r="C233" s="2">
        <v>45702</v>
      </c>
      <c r="D233" s="1" t="s">
        <v>15</v>
      </c>
      <c r="E233" s="1" t="s">
        <v>16</v>
      </c>
      <c r="F233" s="3">
        <v>2329</v>
      </c>
      <c r="G233" s="3">
        <v>373</v>
      </c>
      <c r="H233" s="3">
        <v>291</v>
      </c>
      <c r="I233" s="3">
        <v>49577</v>
      </c>
      <c r="J233" s="3">
        <v>28002</v>
      </c>
      <c r="K233" s="3">
        <v>82</v>
      </c>
      <c r="L233" s="1" t="s">
        <v>39</v>
      </c>
      <c r="M233" s="1" t="s">
        <v>37</v>
      </c>
      <c r="N233" s="1" t="s">
        <v>17</v>
      </c>
      <c r="O233">
        <f t="shared" si="3"/>
        <v>7</v>
      </c>
      <c r="P233" s="20">
        <f>(Table5[[#This Row],[Likes]]+Table5[[#This Row],[Shares]]+Table5[[#This Row],[Comments]])/Table5[[#This Row],[Impressions]]</f>
        <v>6.0370736430199488E-2</v>
      </c>
      <c r="Q233" s="27">
        <f>Table5[[#This Row],[Likes]]+Table5[[#This Row],[Shares]]+Table5[[#This Row],[Comments]]</f>
        <v>2993</v>
      </c>
    </row>
    <row r="234" spans="1:17" x14ac:dyDescent="0.3">
      <c r="A234" s="1" t="s">
        <v>146</v>
      </c>
      <c r="B234" s="1" t="s">
        <v>14</v>
      </c>
      <c r="C234" s="2">
        <v>45704</v>
      </c>
      <c r="D234" s="1" t="s">
        <v>15</v>
      </c>
      <c r="E234" s="1" t="s">
        <v>45</v>
      </c>
      <c r="F234" s="3">
        <v>1333</v>
      </c>
      <c r="G234" s="3">
        <v>286</v>
      </c>
      <c r="H234" s="3">
        <v>298</v>
      </c>
      <c r="I234" s="3">
        <v>36174</v>
      </c>
      <c r="J234" s="3">
        <v>34517</v>
      </c>
      <c r="K234" s="3">
        <v>170</v>
      </c>
      <c r="L234" s="1" t="s">
        <v>39</v>
      </c>
      <c r="M234" s="1" t="s">
        <v>37</v>
      </c>
      <c r="N234" s="1" t="s">
        <v>17</v>
      </c>
      <c r="O234">
        <f t="shared" si="3"/>
        <v>8</v>
      </c>
      <c r="P234" s="20">
        <f>(Table5[[#This Row],[Likes]]+Table5[[#This Row],[Shares]]+Table5[[#This Row],[Comments]])/Table5[[#This Row],[Impressions]]</f>
        <v>5.2993862995521647E-2</v>
      </c>
      <c r="Q234" s="27">
        <f>Table5[[#This Row],[Likes]]+Table5[[#This Row],[Shares]]+Table5[[#This Row],[Comments]]</f>
        <v>1917</v>
      </c>
    </row>
    <row r="235" spans="1:17" x14ac:dyDescent="0.3">
      <c r="A235" s="1" t="s">
        <v>122</v>
      </c>
      <c r="B235" s="1" t="s">
        <v>23</v>
      </c>
      <c r="C235" s="2">
        <v>45705</v>
      </c>
      <c r="D235" s="1" t="s">
        <v>24</v>
      </c>
      <c r="E235" s="1" t="s">
        <v>32</v>
      </c>
      <c r="F235" s="3">
        <v>4796</v>
      </c>
      <c r="G235" s="3">
        <v>427</v>
      </c>
      <c r="H235" s="3">
        <v>339</v>
      </c>
      <c r="I235" s="3">
        <v>30752</v>
      </c>
      <c r="J235" s="3">
        <v>33870</v>
      </c>
      <c r="K235" s="3">
        <v>298</v>
      </c>
      <c r="L235" s="1" t="s">
        <v>39</v>
      </c>
      <c r="M235" s="1" t="s">
        <v>37</v>
      </c>
      <c r="N235" s="1" t="s">
        <v>17</v>
      </c>
      <c r="O235">
        <f t="shared" si="3"/>
        <v>8</v>
      </c>
      <c r="P235" s="20">
        <f>(Table5[[#This Row],[Likes]]+Table5[[#This Row],[Shares]]+Table5[[#This Row],[Comments]])/Table5[[#This Row],[Impressions]]</f>
        <v>0.18086628511966701</v>
      </c>
      <c r="Q235" s="27">
        <f>Table5[[#This Row],[Likes]]+Table5[[#This Row],[Shares]]+Table5[[#This Row],[Comments]]</f>
        <v>5562</v>
      </c>
    </row>
    <row r="236" spans="1:17" x14ac:dyDescent="0.3">
      <c r="A236" s="1" t="s">
        <v>90</v>
      </c>
      <c r="B236" s="1" t="s">
        <v>14</v>
      </c>
      <c r="C236" s="2">
        <v>45707</v>
      </c>
      <c r="D236" s="1" t="s">
        <v>24</v>
      </c>
      <c r="E236" s="1" t="s">
        <v>43</v>
      </c>
      <c r="F236" s="3">
        <v>2422</v>
      </c>
      <c r="G236" s="3">
        <v>455</v>
      </c>
      <c r="H236" s="3">
        <v>376</v>
      </c>
      <c r="I236" s="3">
        <v>23428</v>
      </c>
      <c r="J236" s="3">
        <v>46775</v>
      </c>
      <c r="K236" s="3">
        <v>259</v>
      </c>
      <c r="L236" s="1" t="s">
        <v>37</v>
      </c>
      <c r="M236" s="1" t="s">
        <v>361</v>
      </c>
      <c r="N236" s="1" t="s">
        <v>49</v>
      </c>
      <c r="O236">
        <f t="shared" si="3"/>
        <v>8</v>
      </c>
      <c r="P236" s="20">
        <f>(Table5[[#This Row],[Likes]]+Table5[[#This Row],[Shares]]+Table5[[#This Row],[Comments]])/Table5[[#This Row],[Impressions]]</f>
        <v>0.13885094758408742</v>
      </c>
      <c r="Q236" s="27">
        <f>Table5[[#This Row],[Likes]]+Table5[[#This Row],[Shares]]+Table5[[#This Row],[Comments]]</f>
        <v>3253</v>
      </c>
    </row>
    <row r="237" spans="1:17" x14ac:dyDescent="0.3">
      <c r="A237" s="1" t="s">
        <v>223</v>
      </c>
      <c r="B237" s="1" t="s">
        <v>29</v>
      </c>
      <c r="C237" s="2">
        <v>45708</v>
      </c>
      <c r="D237" s="1" t="s">
        <v>51</v>
      </c>
      <c r="E237" s="1" t="s">
        <v>34</v>
      </c>
      <c r="F237" s="3">
        <v>4957</v>
      </c>
      <c r="G237" s="3">
        <v>262</v>
      </c>
      <c r="H237" s="3">
        <v>365</v>
      </c>
      <c r="I237" s="3">
        <v>49199</v>
      </c>
      <c r="J237" s="3">
        <v>40314</v>
      </c>
      <c r="K237" s="3">
        <v>216</v>
      </c>
      <c r="L237" s="1" t="s">
        <v>20</v>
      </c>
      <c r="M237" s="1" t="s">
        <v>39</v>
      </c>
      <c r="N237" s="1" t="s">
        <v>52</v>
      </c>
      <c r="O237">
        <f t="shared" si="3"/>
        <v>8</v>
      </c>
      <c r="P237" s="20">
        <f>(Table5[[#This Row],[Likes]]+Table5[[#This Row],[Shares]]+Table5[[#This Row],[Comments]])/Table5[[#This Row],[Impressions]]</f>
        <v>0.11349824183418362</v>
      </c>
      <c r="Q237" s="27">
        <f>Table5[[#This Row],[Likes]]+Table5[[#This Row],[Shares]]+Table5[[#This Row],[Comments]]</f>
        <v>5584</v>
      </c>
    </row>
    <row r="238" spans="1:17" x14ac:dyDescent="0.3">
      <c r="A238" s="1" t="s">
        <v>191</v>
      </c>
      <c r="B238" s="1" t="s">
        <v>29</v>
      </c>
      <c r="C238" s="2">
        <v>45718</v>
      </c>
      <c r="D238" s="1" t="s">
        <v>15</v>
      </c>
      <c r="E238" s="1" t="s">
        <v>43</v>
      </c>
      <c r="F238" s="3">
        <v>4425</v>
      </c>
      <c r="G238" s="3">
        <v>185</v>
      </c>
      <c r="H238" s="3">
        <v>162</v>
      </c>
      <c r="I238" s="3">
        <v>24610</v>
      </c>
      <c r="J238" s="3">
        <v>21342</v>
      </c>
      <c r="K238" s="3">
        <v>158</v>
      </c>
      <c r="L238" s="1" t="s">
        <v>20</v>
      </c>
      <c r="M238" s="1" t="s">
        <v>359</v>
      </c>
      <c r="N238" s="1" t="s">
        <v>21</v>
      </c>
      <c r="O238">
        <f t="shared" si="3"/>
        <v>10</v>
      </c>
      <c r="P238" s="20">
        <f>(Table5[[#This Row],[Likes]]+Table5[[#This Row],[Shares]]+Table5[[#This Row],[Comments]])/Table5[[#This Row],[Impressions]]</f>
        <v>0.19390491670052823</v>
      </c>
      <c r="Q238" s="27">
        <f>Table5[[#This Row],[Likes]]+Table5[[#This Row],[Shares]]+Table5[[#This Row],[Comments]]</f>
        <v>4772</v>
      </c>
    </row>
    <row r="239" spans="1:17" x14ac:dyDescent="0.3">
      <c r="A239" s="1" t="s">
        <v>310</v>
      </c>
      <c r="B239" s="1" t="s">
        <v>23</v>
      </c>
      <c r="C239" s="2">
        <v>45720</v>
      </c>
      <c r="D239" s="1" t="s">
        <v>15</v>
      </c>
      <c r="E239" s="1" t="s">
        <v>16</v>
      </c>
      <c r="F239" s="3">
        <v>2177</v>
      </c>
      <c r="G239" s="3">
        <v>258</v>
      </c>
      <c r="H239" s="3">
        <v>292</v>
      </c>
      <c r="I239" s="3">
        <v>47276</v>
      </c>
      <c r="J239" s="3">
        <v>51324</v>
      </c>
      <c r="K239" s="3">
        <v>143</v>
      </c>
      <c r="L239" s="1" t="s">
        <v>37</v>
      </c>
      <c r="M239" s="1" t="s">
        <v>361</v>
      </c>
      <c r="N239" s="1" t="s">
        <v>17</v>
      </c>
      <c r="O239">
        <f t="shared" si="3"/>
        <v>10</v>
      </c>
      <c r="P239" s="20">
        <f>(Table5[[#This Row],[Likes]]+Table5[[#This Row],[Shares]]+Table5[[#This Row],[Comments]])/Table5[[#This Row],[Impressions]]</f>
        <v>5.7682545054573146E-2</v>
      </c>
      <c r="Q239" s="27">
        <f>Table5[[#This Row],[Likes]]+Table5[[#This Row],[Shares]]+Table5[[#This Row],[Comments]]</f>
        <v>2727</v>
      </c>
    </row>
    <row r="240" spans="1:17" x14ac:dyDescent="0.3">
      <c r="A240" s="1" t="s">
        <v>88</v>
      </c>
      <c r="B240" s="1" t="s">
        <v>14</v>
      </c>
      <c r="C240" s="2">
        <v>45722</v>
      </c>
      <c r="D240" s="1" t="s">
        <v>15</v>
      </c>
      <c r="E240" s="1" t="s">
        <v>34</v>
      </c>
      <c r="F240" s="3">
        <v>4851</v>
      </c>
      <c r="G240" s="3">
        <v>460</v>
      </c>
      <c r="H240" s="3">
        <v>212</v>
      </c>
      <c r="I240" s="3">
        <v>58075</v>
      </c>
      <c r="J240" s="3">
        <v>59574</v>
      </c>
      <c r="K240" s="3">
        <v>239</v>
      </c>
      <c r="L240" s="1" t="s">
        <v>20</v>
      </c>
      <c r="M240" s="1" t="s">
        <v>361</v>
      </c>
      <c r="N240" s="1" t="s">
        <v>21</v>
      </c>
      <c r="O240">
        <f t="shared" si="3"/>
        <v>10</v>
      </c>
      <c r="P240" s="20">
        <f>(Table5[[#This Row],[Likes]]+Table5[[#This Row],[Shares]]+Table5[[#This Row],[Comments]])/Table5[[#This Row],[Impressions]]</f>
        <v>9.5101162290142052E-2</v>
      </c>
      <c r="Q240" s="27">
        <f>Table5[[#This Row],[Likes]]+Table5[[#This Row],[Shares]]+Table5[[#This Row],[Comments]]</f>
        <v>5523</v>
      </c>
    </row>
    <row r="241" spans="1:17" x14ac:dyDescent="0.3">
      <c r="A241" s="1" t="s">
        <v>115</v>
      </c>
      <c r="B241" s="1" t="s">
        <v>23</v>
      </c>
      <c r="C241" s="2">
        <v>45723</v>
      </c>
      <c r="D241" s="1" t="s">
        <v>15</v>
      </c>
      <c r="E241" s="1" t="s">
        <v>34</v>
      </c>
      <c r="F241" s="3">
        <v>4234</v>
      </c>
      <c r="G241" s="3">
        <v>486</v>
      </c>
      <c r="H241" s="3">
        <v>276</v>
      </c>
      <c r="I241" s="3">
        <v>56623</v>
      </c>
      <c r="J241" s="3">
        <v>41343</v>
      </c>
      <c r="K241" s="3">
        <v>184</v>
      </c>
      <c r="L241" s="1" t="s">
        <v>39</v>
      </c>
      <c r="M241" s="1" t="s">
        <v>361</v>
      </c>
      <c r="N241" s="1" t="s">
        <v>21</v>
      </c>
      <c r="O241">
        <f t="shared" si="3"/>
        <v>10</v>
      </c>
      <c r="P241" s="20">
        <f>(Table5[[#This Row],[Likes]]+Table5[[#This Row],[Shares]]+Table5[[#This Row],[Comments]])/Table5[[#This Row],[Impressions]]</f>
        <v>8.8232696960599044E-2</v>
      </c>
      <c r="Q241" s="27">
        <f>Table5[[#This Row],[Likes]]+Table5[[#This Row],[Shares]]+Table5[[#This Row],[Comments]]</f>
        <v>4996</v>
      </c>
    </row>
    <row r="242" spans="1:17" x14ac:dyDescent="0.3">
      <c r="A242" s="1" t="s">
        <v>266</v>
      </c>
      <c r="B242" s="1" t="s">
        <v>29</v>
      </c>
      <c r="C242" s="2">
        <v>45723</v>
      </c>
      <c r="D242" s="1" t="s">
        <v>15</v>
      </c>
      <c r="E242" s="1" t="s">
        <v>77</v>
      </c>
      <c r="F242" s="3">
        <v>4310</v>
      </c>
      <c r="G242" s="3">
        <v>284</v>
      </c>
      <c r="H242" s="3">
        <v>306</v>
      </c>
      <c r="I242" s="3">
        <v>44606</v>
      </c>
      <c r="J242" s="3">
        <v>42604</v>
      </c>
      <c r="K242" s="3">
        <v>290</v>
      </c>
      <c r="L242" s="1" t="s">
        <v>20</v>
      </c>
      <c r="M242" s="1" t="s">
        <v>359</v>
      </c>
      <c r="N242" s="1" t="s">
        <v>21</v>
      </c>
      <c r="O242">
        <f t="shared" si="3"/>
        <v>10</v>
      </c>
      <c r="P242" s="20">
        <f>(Table5[[#This Row],[Likes]]+Table5[[#This Row],[Shares]]+Table5[[#This Row],[Comments]])/Table5[[#This Row],[Impressions]]</f>
        <v>0.10985069273191947</v>
      </c>
      <c r="Q242" s="27">
        <f>Table5[[#This Row],[Likes]]+Table5[[#This Row],[Shares]]+Table5[[#This Row],[Comments]]</f>
        <v>4900</v>
      </c>
    </row>
    <row r="243" spans="1:17" x14ac:dyDescent="0.3">
      <c r="A243" s="1" t="s">
        <v>329</v>
      </c>
      <c r="B243" s="1" t="s">
        <v>14</v>
      </c>
      <c r="C243" s="2">
        <v>45724</v>
      </c>
      <c r="D243" s="1" t="s">
        <v>24</v>
      </c>
      <c r="E243" s="1" t="s">
        <v>77</v>
      </c>
      <c r="F243" s="3">
        <v>2244</v>
      </c>
      <c r="G243" s="3">
        <v>392</v>
      </c>
      <c r="H243" s="3">
        <v>231</v>
      </c>
      <c r="I243" s="3">
        <v>25834</v>
      </c>
      <c r="J243" s="3">
        <v>50906</v>
      </c>
      <c r="K243" s="3">
        <v>165</v>
      </c>
      <c r="L243" s="1" t="s">
        <v>37</v>
      </c>
      <c r="M243" s="1" t="s">
        <v>361</v>
      </c>
      <c r="N243" s="1" t="s">
        <v>49</v>
      </c>
      <c r="O243">
        <f t="shared" si="3"/>
        <v>10</v>
      </c>
      <c r="P243" s="20">
        <f>(Table5[[#This Row],[Likes]]+Table5[[#This Row],[Shares]]+Table5[[#This Row],[Comments]])/Table5[[#This Row],[Impressions]]</f>
        <v>0.1109777812185492</v>
      </c>
      <c r="Q243" s="27">
        <f>Table5[[#This Row],[Likes]]+Table5[[#This Row],[Shares]]+Table5[[#This Row],[Comments]]</f>
        <v>2867</v>
      </c>
    </row>
    <row r="244" spans="1:17" x14ac:dyDescent="0.3">
      <c r="A244" s="1" t="s">
        <v>173</v>
      </c>
      <c r="B244" s="1" t="s">
        <v>23</v>
      </c>
      <c r="C244" s="2">
        <v>45725</v>
      </c>
      <c r="D244" s="1" t="s">
        <v>15</v>
      </c>
      <c r="E244" s="1" t="s">
        <v>45</v>
      </c>
      <c r="F244" s="3">
        <v>2754</v>
      </c>
      <c r="G244" s="3">
        <v>215</v>
      </c>
      <c r="H244" s="3">
        <v>264</v>
      </c>
      <c r="I244" s="3">
        <v>27762</v>
      </c>
      <c r="J244" s="3">
        <v>70203</v>
      </c>
      <c r="K244" s="3">
        <v>289</v>
      </c>
      <c r="L244" s="1" t="s">
        <v>37</v>
      </c>
      <c r="M244" s="1" t="s">
        <v>361</v>
      </c>
      <c r="N244" s="1" t="s">
        <v>17</v>
      </c>
      <c r="O244">
        <f t="shared" si="3"/>
        <v>11</v>
      </c>
      <c r="P244" s="20">
        <f>(Table5[[#This Row],[Likes]]+Table5[[#This Row],[Shares]]+Table5[[#This Row],[Comments]])/Table5[[#This Row],[Impressions]]</f>
        <v>0.11645414595490239</v>
      </c>
      <c r="Q244" s="27">
        <f>Table5[[#This Row],[Likes]]+Table5[[#This Row],[Shares]]+Table5[[#This Row],[Comments]]</f>
        <v>3233</v>
      </c>
    </row>
    <row r="245" spans="1:17" x14ac:dyDescent="0.3">
      <c r="A245" s="1" t="s">
        <v>62</v>
      </c>
      <c r="B245" s="1" t="s">
        <v>23</v>
      </c>
      <c r="C245" s="2">
        <v>45734</v>
      </c>
      <c r="D245" s="1" t="s">
        <v>24</v>
      </c>
      <c r="E245" s="1" t="s">
        <v>19</v>
      </c>
      <c r="F245" s="3">
        <v>3418</v>
      </c>
      <c r="G245" s="3">
        <v>188</v>
      </c>
      <c r="H245" s="3">
        <v>387</v>
      </c>
      <c r="I245" s="3">
        <v>57431</v>
      </c>
      <c r="J245" s="3">
        <v>36933</v>
      </c>
      <c r="K245" s="3">
        <v>202</v>
      </c>
      <c r="L245" s="1" t="s">
        <v>358</v>
      </c>
      <c r="M245" s="1" t="s">
        <v>37</v>
      </c>
      <c r="N245" s="1" t="s">
        <v>17</v>
      </c>
      <c r="O245">
        <f t="shared" si="3"/>
        <v>12</v>
      </c>
      <c r="P245" s="20">
        <f>(Table5[[#This Row],[Likes]]+Table5[[#This Row],[Shares]]+Table5[[#This Row],[Comments]])/Table5[[#This Row],[Impressions]]</f>
        <v>6.9526910553533799E-2</v>
      </c>
      <c r="Q245" s="27">
        <f>Table5[[#This Row],[Likes]]+Table5[[#This Row],[Shares]]+Table5[[#This Row],[Comments]]</f>
        <v>3993</v>
      </c>
    </row>
    <row r="246" spans="1:17" x14ac:dyDescent="0.3">
      <c r="A246" s="1" t="s">
        <v>165</v>
      </c>
      <c r="B246" s="1" t="s">
        <v>23</v>
      </c>
      <c r="C246" s="2">
        <v>45736</v>
      </c>
      <c r="D246" s="1" t="s">
        <v>15</v>
      </c>
      <c r="E246" s="1" t="s">
        <v>45</v>
      </c>
      <c r="F246" s="3">
        <v>1564</v>
      </c>
      <c r="G246" s="3">
        <v>362</v>
      </c>
      <c r="H246" s="3">
        <v>371</v>
      </c>
      <c r="I246" s="3">
        <v>42075</v>
      </c>
      <c r="J246" s="3">
        <v>66659</v>
      </c>
      <c r="K246" s="3">
        <v>205</v>
      </c>
      <c r="L246" s="1" t="s">
        <v>39</v>
      </c>
      <c r="M246" s="1" t="s">
        <v>361</v>
      </c>
      <c r="N246" s="1" t="s">
        <v>21</v>
      </c>
      <c r="O246">
        <f t="shared" si="3"/>
        <v>12</v>
      </c>
      <c r="P246" s="20">
        <f>(Table5[[#This Row],[Likes]]+Table5[[#This Row],[Shares]]+Table5[[#This Row],[Comments]])/Table5[[#This Row],[Impressions]]</f>
        <v>5.4592988710635768E-2</v>
      </c>
      <c r="Q246" s="27">
        <f>Table5[[#This Row],[Likes]]+Table5[[#This Row],[Shares]]+Table5[[#This Row],[Comments]]</f>
        <v>2297</v>
      </c>
    </row>
    <row r="247" spans="1:17" x14ac:dyDescent="0.3">
      <c r="A247" s="1" t="s">
        <v>292</v>
      </c>
      <c r="B247" s="1" t="s">
        <v>29</v>
      </c>
      <c r="C247" s="2">
        <v>45736</v>
      </c>
      <c r="D247" s="1" t="s">
        <v>51</v>
      </c>
      <c r="E247" s="1" t="s">
        <v>43</v>
      </c>
      <c r="F247" s="3">
        <v>1453</v>
      </c>
      <c r="G247" s="3">
        <v>156</v>
      </c>
      <c r="H247" s="3">
        <v>178</v>
      </c>
      <c r="I247" s="3">
        <v>52980</v>
      </c>
      <c r="J247" s="3">
        <v>57180</v>
      </c>
      <c r="K247" s="3">
        <v>286</v>
      </c>
      <c r="L247" s="1" t="s">
        <v>20</v>
      </c>
      <c r="M247" s="1" t="s">
        <v>39</v>
      </c>
      <c r="N247" s="1" t="s">
        <v>52</v>
      </c>
      <c r="O247">
        <f t="shared" si="3"/>
        <v>12</v>
      </c>
      <c r="P247" s="20">
        <f>(Table5[[#This Row],[Likes]]+Table5[[#This Row],[Shares]]+Table5[[#This Row],[Comments]])/Table5[[#This Row],[Impressions]]</f>
        <v>3.3729709324273313E-2</v>
      </c>
      <c r="Q247" s="27">
        <f>Table5[[#This Row],[Likes]]+Table5[[#This Row],[Shares]]+Table5[[#This Row],[Comments]]</f>
        <v>1787</v>
      </c>
    </row>
    <row r="248" spans="1:17" x14ac:dyDescent="0.3">
      <c r="A248" s="1" t="s">
        <v>330</v>
      </c>
      <c r="B248" s="1" t="s">
        <v>23</v>
      </c>
      <c r="C248" s="2">
        <v>45736</v>
      </c>
      <c r="D248" s="1" t="s">
        <v>24</v>
      </c>
      <c r="E248" s="1" t="s">
        <v>45</v>
      </c>
      <c r="F248" s="3">
        <v>3393</v>
      </c>
      <c r="G248" s="3">
        <v>104</v>
      </c>
      <c r="H248" s="3">
        <v>79</v>
      </c>
      <c r="I248" s="3">
        <v>30025</v>
      </c>
      <c r="J248" s="3">
        <v>21593</v>
      </c>
      <c r="K248" s="3">
        <v>165</v>
      </c>
      <c r="L248" s="1" t="s">
        <v>358</v>
      </c>
      <c r="M248" s="1" t="s">
        <v>37</v>
      </c>
      <c r="N248" s="1" t="s">
        <v>17</v>
      </c>
      <c r="O248">
        <f t="shared" si="3"/>
        <v>12</v>
      </c>
      <c r="P248" s="20">
        <f>(Table5[[#This Row],[Likes]]+Table5[[#This Row],[Shares]]+Table5[[#This Row],[Comments]])/Table5[[#This Row],[Impressions]]</f>
        <v>0.1191007493755204</v>
      </c>
      <c r="Q248" s="27">
        <f>Table5[[#This Row],[Likes]]+Table5[[#This Row],[Shares]]+Table5[[#This Row],[Comments]]</f>
        <v>3576</v>
      </c>
    </row>
    <row r="249" spans="1:17" x14ac:dyDescent="0.3">
      <c r="A249" s="1" t="s">
        <v>192</v>
      </c>
      <c r="B249" s="1" t="s">
        <v>23</v>
      </c>
      <c r="C249" s="2">
        <v>45737</v>
      </c>
      <c r="D249" s="1" t="s">
        <v>24</v>
      </c>
      <c r="E249" s="1" t="s">
        <v>25</v>
      </c>
      <c r="F249" s="3">
        <v>4609</v>
      </c>
      <c r="G249" s="3">
        <v>427</v>
      </c>
      <c r="H249" s="3">
        <v>395</v>
      </c>
      <c r="I249" s="3">
        <v>33698</v>
      </c>
      <c r="J249" s="3">
        <v>29259</v>
      </c>
      <c r="K249" s="3">
        <v>216</v>
      </c>
      <c r="L249" s="1" t="s">
        <v>20</v>
      </c>
      <c r="M249" s="1" t="s">
        <v>358</v>
      </c>
      <c r="N249" s="1" t="s">
        <v>17</v>
      </c>
      <c r="O249">
        <f t="shared" si="3"/>
        <v>12</v>
      </c>
      <c r="P249" s="20">
        <f>(Table5[[#This Row],[Likes]]+Table5[[#This Row],[Shares]]+Table5[[#This Row],[Comments]])/Table5[[#This Row],[Impressions]]</f>
        <v>0.16116683482699271</v>
      </c>
      <c r="Q249" s="27">
        <f>Table5[[#This Row],[Likes]]+Table5[[#This Row],[Shares]]+Table5[[#This Row],[Comments]]</f>
        <v>5431</v>
      </c>
    </row>
    <row r="250" spans="1:17" x14ac:dyDescent="0.3">
      <c r="A250" s="1" t="s">
        <v>261</v>
      </c>
      <c r="B250" s="1" t="s">
        <v>29</v>
      </c>
      <c r="C250" s="2">
        <v>45738</v>
      </c>
      <c r="D250" s="1" t="s">
        <v>15</v>
      </c>
      <c r="E250" s="1" t="s">
        <v>30</v>
      </c>
      <c r="F250" s="3">
        <v>4308</v>
      </c>
      <c r="G250" s="3">
        <v>171</v>
      </c>
      <c r="H250" s="3">
        <v>106</v>
      </c>
      <c r="I250" s="3">
        <v>36955</v>
      </c>
      <c r="J250" s="3">
        <v>23949</v>
      </c>
      <c r="K250" s="3">
        <v>294</v>
      </c>
      <c r="L250" s="1" t="s">
        <v>20</v>
      </c>
      <c r="M250" s="1" t="s">
        <v>359</v>
      </c>
      <c r="N250" s="1" t="s">
        <v>21</v>
      </c>
      <c r="O250">
        <f t="shared" si="3"/>
        <v>12</v>
      </c>
      <c r="P250" s="20">
        <f>(Table5[[#This Row],[Likes]]+Table5[[#This Row],[Shares]]+Table5[[#This Row],[Comments]])/Table5[[#This Row],[Impressions]]</f>
        <v>0.12406981463942633</v>
      </c>
      <c r="Q250" s="27">
        <f>Table5[[#This Row],[Likes]]+Table5[[#This Row],[Shares]]+Table5[[#This Row],[Comments]]</f>
        <v>4585</v>
      </c>
    </row>
    <row r="251" spans="1:17" x14ac:dyDescent="0.3">
      <c r="A251" s="1" t="s">
        <v>209</v>
      </c>
      <c r="B251" s="1" t="s">
        <v>23</v>
      </c>
      <c r="C251" s="2">
        <v>45748</v>
      </c>
      <c r="D251" s="1" t="s">
        <v>24</v>
      </c>
      <c r="E251" s="1" t="s">
        <v>30</v>
      </c>
      <c r="F251" s="3">
        <v>2665</v>
      </c>
      <c r="G251" s="3">
        <v>143</v>
      </c>
      <c r="H251" s="3">
        <v>315</v>
      </c>
      <c r="I251" s="3">
        <v>54808</v>
      </c>
      <c r="J251" s="3">
        <v>29818</v>
      </c>
      <c r="K251" s="3">
        <v>98</v>
      </c>
      <c r="L251" s="1" t="s">
        <v>20</v>
      </c>
      <c r="M251" s="1" t="s">
        <v>358</v>
      </c>
      <c r="N251" s="1" t="s">
        <v>17</v>
      </c>
      <c r="O251">
        <f t="shared" si="3"/>
        <v>14</v>
      </c>
      <c r="P251" s="20">
        <f>(Table5[[#This Row],[Likes]]+Table5[[#This Row],[Shares]]+Table5[[#This Row],[Comments]])/Table5[[#This Row],[Impressions]]</f>
        <v>5.6980732739746021E-2</v>
      </c>
      <c r="Q251" s="27">
        <f>Table5[[#This Row],[Likes]]+Table5[[#This Row],[Shares]]+Table5[[#This Row],[Comments]]</f>
        <v>3123</v>
      </c>
    </row>
    <row r="252" spans="1:17" x14ac:dyDescent="0.3">
      <c r="A252" s="1" t="s">
        <v>208</v>
      </c>
      <c r="B252" s="1" t="s">
        <v>29</v>
      </c>
      <c r="C252" s="2">
        <v>45749</v>
      </c>
      <c r="D252" s="1" t="s">
        <v>15</v>
      </c>
      <c r="E252" s="1" t="s">
        <v>27</v>
      </c>
      <c r="F252" s="3">
        <v>4598</v>
      </c>
      <c r="G252" s="3">
        <v>455</v>
      </c>
      <c r="H252" s="3">
        <v>378</v>
      </c>
      <c r="I252" s="3">
        <v>52952</v>
      </c>
      <c r="J252" s="3">
        <v>58504</v>
      </c>
      <c r="K252" s="3">
        <v>269</v>
      </c>
      <c r="L252" s="1" t="s">
        <v>20</v>
      </c>
      <c r="M252" s="1" t="s">
        <v>359</v>
      </c>
      <c r="N252" s="1" t="s">
        <v>21</v>
      </c>
      <c r="O252">
        <f t="shared" si="3"/>
        <v>14</v>
      </c>
      <c r="P252" s="20">
        <f>(Table5[[#This Row],[Likes]]+Table5[[#This Row],[Shares]]+Table5[[#This Row],[Comments]])/Table5[[#This Row],[Impressions]]</f>
        <v>0.10256458679558846</v>
      </c>
      <c r="Q252" s="27">
        <f>Table5[[#This Row],[Likes]]+Table5[[#This Row],[Shares]]+Table5[[#This Row],[Comments]]</f>
        <v>5431</v>
      </c>
    </row>
    <row r="253" spans="1:17" x14ac:dyDescent="0.3">
      <c r="A253" s="1" t="s">
        <v>242</v>
      </c>
      <c r="B253" s="1" t="s">
        <v>23</v>
      </c>
      <c r="C253" s="2">
        <v>45754</v>
      </c>
      <c r="D253" s="1" t="s">
        <v>15</v>
      </c>
      <c r="E253" s="1" t="s">
        <v>43</v>
      </c>
      <c r="F253" s="3">
        <v>1403</v>
      </c>
      <c r="G253" s="3">
        <v>385</v>
      </c>
      <c r="H253" s="3">
        <v>344</v>
      </c>
      <c r="I253" s="3">
        <v>54223</v>
      </c>
      <c r="J253" s="3">
        <v>72595</v>
      </c>
      <c r="K253" s="3">
        <v>239</v>
      </c>
      <c r="L253" s="1" t="s">
        <v>39</v>
      </c>
      <c r="M253" s="1" t="s">
        <v>361</v>
      </c>
      <c r="N253" s="1" t="s">
        <v>21</v>
      </c>
      <c r="O253">
        <f t="shared" si="3"/>
        <v>15</v>
      </c>
      <c r="P253" s="20">
        <f>(Table5[[#This Row],[Likes]]+Table5[[#This Row],[Shares]]+Table5[[#This Row],[Comments]])/Table5[[#This Row],[Impressions]]</f>
        <v>3.9319108127547353E-2</v>
      </c>
      <c r="Q253" s="27">
        <f>Table5[[#This Row],[Likes]]+Table5[[#This Row],[Shares]]+Table5[[#This Row],[Comments]]</f>
        <v>2132</v>
      </c>
    </row>
    <row r="254" spans="1:17" x14ac:dyDescent="0.3">
      <c r="A254" s="1" t="s">
        <v>276</v>
      </c>
      <c r="B254" s="1" t="s">
        <v>23</v>
      </c>
      <c r="C254" s="2">
        <v>45759</v>
      </c>
      <c r="D254" s="1" t="s">
        <v>24</v>
      </c>
      <c r="E254" s="1" t="s">
        <v>43</v>
      </c>
      <c r="F254" s="3">
        <v>4315</v>
      </c>
      <c r="G254" s="3">
        <v>208</v>
      </c>
      <c r="H254" s="3">
        <v>273</v>
      </c>
      <c r="I254" s="3">
        <v>35780</v>
      </c>
      <c r="J254" s="3">
        <v>44349</v>
      </c>
      <c r="K254" s="3">
        <v>133</v>
      </c>
      <c r="L254" s="1" t="s">
        <v>20</v>
      </c>
      <c r="M254" s="1" t="s">
        <v>358</v>
      </c>
      <c r="N254" s="1" t="s">
        <v>17</v>
      </c>
      <c r="O254">
        <f t="shared" si="3"/>
        <v>15</v>
      </c>
      <c r="P254" s="20">
        <f>(Table5[[#This Row],[Likes]]+Table5[[#This Row],[Shares]]+Table5[[#This Row],[Comments]])/Table5[[#This Row],[Impressions]]</f>
        <v>0.13404136389044158</v>
      </c>
      <c r="Q254" s="27">
        <f>Table5[[#This Row],[Likes]]+Table5[[#This Row],[Shares]]+Table5[[#This Row],[Comments]]</f>
        <v>4796</v>
      </c>
    </row>
    <row r="255" spans="1:17" x14ac:dyDescent="0.3">
      <c r="A255" s="1" t="s">
        <v>183</v>
      </c>
      <c r="B255" s="1" t="s">
        <v>23</v>
      </c>
      <c r="C255" s="2">
        <v>45760</v>
      </c>
      <c r="D255" s="1" t="s">
        <v>15</v>
      </c>
      <c r="E255" s="1" t="s">
        <v>43</v>
      </c>
      <c r="F255" s="3">
        <v>3890</v>
      </c>
      <c r="G255" s="3">
        <v>408</v>
      </c>
      <c r="H255" s="3">
        <v>338</v>
      </c>
      <c r="I255" s="3">
        <v>56994</v>
      </c>
      <c r="J255" s="3">
        <v>32621</v>
      </c>
      <c r="K255" s="3">
        <v>286</v>
      </c>
      <c r="L255" s="1" t="s">
        <v>39</v>
      </c>
      <c r="M255" s="1" t="s">
        <v>361</v>
      </c>
      <c r="N255" s="1" t="s">
        <v>21</v>
      </c>
      <c r="O255">
        <f t="shared" si="3"/>
        <v>16</v>
      </c>
      <c r="P255" s="20">
        <f>(Table5[[#This Row],[Likes]]+Table5[[#This Row],[Shares]]+Table5[[#This Row],[Comments]])/Table5[[#This Row],[Impressions]]</f>
        <v>8.1341895638137346E-2</v>
      </c>
      <c r="Q255" s="27">
        <f>Table5[[#This Row],[Likes]]+Table5[[#This Row],[Shares]]+Table5[[#This Row],[Comments]]</f>
        <v>4636</v>
      </c>
    </row>
    <row r="256" spans="1:17" x14ac:dyDescent="0.3">
      <c r="A256" s="1" t="s">
        <v>149</v>
      </c>
      <c r="B256" s="1" t="s">
        <v>14</v>
      </c>
      <c r="C256" s="2">
        <v>45762</v>
      </c>
      <c r="D256" s="1" t="s">
        <v>15</v>
      </c>
      <c r="E256" s="1" t="s">
        <v>19</v>
      </c>
      <c r="F256" s="3">
        <v>4177</v>
      </c>
      <c r="G256" s="3">
        <v>489</v>
      </c>
      <c r="H256" s="3">
        <v>331</v>
      </c>
      <c r="I256" s="3">
        <v>57451</v>
      </c>
      <c r="J256" s="3">
        <v>73793</v>
      </c>
      <c r="K256" s="3">
        <v>251</v>
      </c>
      <c r="L256" s="1" t="s">
        <v>20</v>
      </c>
      <c r="M256" s="1" t="s">
        <v>361</v>
      </c>
      <c r="N256" s="1" t="s">
        <v>21</v>
      </c>
      <c r="O256">
        <f t="shared" si="3"/>
        <v>16</v>
      </c>
      <c r="P256" s="20">
        <f>(Table5[[#This Row],[Likes]]+Table5[[#This Row],[Shares]]+Table5[[#This Row],[Comments]])/Table5[[#This Row],[Impressions]]</f>
        <v>8.6978468608031198E-2</v>
      </c>
      <c r="Q256" s="27">
        <f>Table5[[#This Row],[Likes]]+Table5[[#This Row],[Shares]]+Table5[[#This Row],[Comments]]</f>
        <v>4997</v>
      </c>
    </row>
    <row r="257" spans="1:17" x14ac:dyDescent="0.3">
      <c r="A257" s="1" t="s">
        <v>100</v>
      </c>
      <c r="B257" s="1" t="s">
        <v>14</v>
      </c>
      <c r="C257" s="2">
        <v>45763</v>
      </c>
      <c r="D257" s="1" t="s">
        <v>15</v>
      </c>
      <c r="E257" s="1" t="s">
        <v>27</v>
      </c>
      <c r="F257" s="3">
        <v>4836</v>
      </c>
      <c r="G257" s="3">
        <v>331</v>
      </c>
      <c r="H257" s="3">
        <v>140</v>
      </c>
      <c r="I257" s="3">
        <v>58792</v>
      </c>
      <c r="J257" s="3">
        <v>47711</v>
      </c>
      <c r="K257" s="3">
        <v>227</v>
      </c>
      <c r="L257" s="1" t="s">
        <v>39</v>
      </c>
      <c r="M257" s="1" t="s">
        <v>37</v>
      </c>
      <c r="N257" s="1" t="s">
        <v>17</v>
      </c>
      <c r="O257">
        <f t="shared" si="3"/>
        <v>16</v>
      </c>
      <c r="P257" s="20">
        <f>(Table5[[#This Row],[Likes]]+Table5[[#This Row],[Shares]]+Table5[[#This Row],[Comments]])/Table5[[#This Row],[Impressions]]</f>
        <v>9.0267383317458164E-2</v>
      </c>
      <c r="Q257" s="27">
        <f>Table5[[#This Row],[Likes]]+Table5[[#This Row],[Shares]]+Table5[[#This Row],[Comments]]</f>
        <v>5307</v>
      </c>
    </row>
    <row r="258" spans="1:17" x14ac:dyDescent="0.3">
      <c r="A258" s="1" t="s">
        <v>239</v>
      </c>
      <c r="B258" s="1" t="s">
        <v>23</v>
      </c>
      <c r="C258" s="2">
        <v>45763</v>
      </c>
      <c r="D258" s="1" t="s">
        <v>15</v>
      </c>
      <c r="E258" s="1" t="s">
        <v>27</v>
      </c>
      <c r="F258" s="3">
        <v>3792</v>
      </c>
      <c r="G258" s="3">
        <v>315</v>
      </c>
      <c r="H258" s="3">
        <v>120</v>
      </c>
      <c r="I258" s="3">
        <v>54592</v>
      </c>
      <c r="J258" s="3">
        <v>67886</v>
      </c>
      <c r="K258" s="3">
        <v>117</v>
      </c>
      <c r="L258" s="1" t="s">
        <v>39</v>
      </c>
      <c r="M258" s="1" t="s">
        <v>361</v>
      </c>
      <c r="N258" s="1" t="s">
        <v>21</v>
      </c>
      <c r="O258">
        <f t="shared" ref="O258:O300" si="4">WEEKNUM(C258)</f>
        <v>16</v>
      </c>
      <c r="P258" s="20">
        <f>(Table5[[#This Row],[Likes]]+Table5[[#This Row],[Shares]]+Table5[[#This Row],[Comments]])/Table5[[#This Row],[Impressions]]</f>
        <v>7.7428927315357568E-2</v>
      </c>
      <c r="Q258" s="27">
        <f>Table5[[#This Row],[Likes]]+Table5[[#This Row],[Shares]]+Table5[[#This Row],[Comments]]</f>
        <v>4227</v>
      </c>
    </row>
    <row r="259" spans="1:17" x14ac:dyDescent="0.3">
      <c r="A259" s="1" t="s">
        <v>327</v>
      </c>
      <c r="B259" s="1" t="s">
        <v>29</v>
      </c>
      <c r="C259" s="2">
        <v>45765</v>
      </c>
      <c r="D259" s="1" t="s">
        <v>51</v>
      </c>
      <c r="E259" s="1" t="s">
        <v>45</v>
      </c>
      <c r="F259" s="3">
        <v>1265</v>
      </c>
      <c r="G259" s="3">
        <v>230</v>
      </c>
      <c r="H259" s="3">
        <v>364</v>
      </c>
      <c r="I259" s="3">
        <v>41312</v>
      </c>
      <c r="J259" s="3">
        <v>50382</v>
      </c>
      <c r="K259" s="3">
        <v>106</v>
      </c>
      <c r="L259" s="1" t="s">
        <v>20</v>
      </c>
      <c r="M259" s="1" t="s">
        <v>39</v>
      </c>
      <c r="N259" s="1" t="s">
        <v>52</v>
      </c>
      <c r="O259">
        <f t="shared" si="4"/>
        <v>16</v>
      </c>
      <c r="P259" s="20">
        <f>(Table5[[#This Row],[Likes]]+Table5[[#This Row],[Shares]]+Table5[[#This Row],[Comments]])/Table5[[#This Row],[Impressions]]</f>
        <v>4.4999031758326875E-2</v>
      </c>
      <c r="Q259" s="27">
        <f>Table5[[#This Row],[Likes]]+Table5[[#This Row],[Shares]]+Table5[[#This Row],[Comments]]</f>
        <v>1859</v>
      </c>
    </row>
    <row r="260" spans="1:17" x14ac:dyDescent="0.3">
      <c r="A260" s="1" t="s">
        <v>84</v>
      </c>
      <c r="B260" s="1" t="s">
        <v>23</v>
      </c>
      <c r="C260" s="2">
        <v>45769</v>
      </c>
      <c r="D260" s="1" t="s">
        <v>15</v>
      </c>
      <c r="E260" s="1" t="s">
        <v>16</v>
      </c>
      <c r="F260" s="3">
        <v>4401</v>
      </c>
      <c r="G260" s="3">
        <v>421</v>
      </c>
      <c r="H260" s="3">
        <v>216</v>
      </c>
      <c r="I260" s="3">
        <v>24890</v>
      </c>
      <c r="J260" s="3">
        <v>54361</v>
      </c>
      <c r="K260" s="3">
        <v>148</v>
      </c>
      <c r="L260" s="1" t="s">
        <v>37</v>
      </c>
      <c r="M260" s="1" t="s">
        <v>361</v>
      </c>
      <c r="N260" s="1" t="s">
        <v>17</v>
      </c>
      <c r="O260">
        <f t="shared" si="4"/>
        <v>17</v>
      </c>
      <c r="P260" s="20">
        <f>(Table5[[#This Row],[Likes]]+Table5[[#This Row],[Shares]]+Table5[[#This Row],[Comments]])/Table5[[#This Row],[Impressions]]</f>
        <v>0.20241060666934513</v>
      </c>
      <c r="Q260" s="27">
        <f>Table5[[#This Row],[Likes]]+Table5[[#This Row],[Shares]]+Table5[[#This Row],[Comments]]</f>
        <v>5038</v>
      </c>
    </row>
    <row r="261" spans="1:17" x14ac:dyDescent="0.3">
      <c r="A261" s="1" t="s">
        <v>219</v>
      </c>
      <c r="B261" s="1" t="s">
        <v>29</v>
      </c>
      <c r="C261" s="2">
        <v>45769</v>
      </c>
      <c r="D261" s="1" t="s">
        <v>51</v>
      </c>
      <c r="E261" s="1" t="s">
        <v>25</v>
      </c>
      <c r="F261" s="3">
        <v>2733</v>
      </c>
      <c r="G261" s="3">
        <v>297</v>
      </c>
      <c r="H261" s="3">
        <v>235</v>
      </c>
      <c r="I261" s="3">
        <v>37980</v>
      </c>
      <c r="J261" s="3">
        <v>33058</v>
      </c>
      <c r="K261" s="3">
        <v>219</v>
      </c>
      <c r="L261" s="1" t="s">
        <v>20</v>
      </c>
      <c r="M261" s="1" t="s">
        <v>39</v>
      </c>
      <c r="N261" s="1" t="s">
        <v>52</v>
      </c>
      <c r="O261">
        <f t="shared" si="4"/>
        <v>17</v>
      </c>
      <c r="P261" s="20">
        <f>(Table5[[#This Row],[Likes]]+Table5[[#This Row],[Shares]]+Table5[[#This Row],[Comments]])/Table5[[#This Row],[Impressions]]</f>
        <v>8.5966298051606105E-2</v>
      </c>
      <c r="Q261" s="27">
        <f>Table5[[#This Row],[Likes]]+Table5[[#This Row],[Shares]]+Table5[[#This Row],[Comments]]</f>
        <v>3265</v>
      </c>
    </row>
    <row r="262" spans="1:17" x14ac:dyDescent="0.3">
      <c r="A262" s="1" t="s">
        <v>63</v>
      </c>
      <c r="B262" s="1" t="s">
        <v>23</v>
      </c>
      <c r="C262" s="2">
        <v>45773</v>
      </c>
      <c r="D262" s="1" t="s">
        <v>15</v>
      </c>
      <c r="E262" s="1" t="s">
        <v>16</v>
      </c>
      <c r="F262" s="3">
        <v>2411</v>
      </c>
      <c r="G262" s="3">
        <v>194</v>
      </c>
      <c r="H262" s="3">
        <v>168</v>
      </c>
      <c r="I262" s="3">
        <v>26665</v>
      </c>
      <c r="J262" s="3">
        <v>71699</v>
      </c>
      <c r="K262" s="3">
        <v>197</v>
      </c>
      <c r="L262" s="1" t="s">
        <v>37</v>
      </c>
      <c r="M262" s="1" t="s">
        <v>361</v>
      </c>
      <c r="N262" s="1" t="s">
        <v>17</v>
      </c>
      <c r="O262">
        <f t="shared" si="4"/>
        <v>17</v>
      </c>
      <c r="P262" s="20">
        <f>(Table5[[#This Row],[Likes]]+Table5[[#This Row],[Shares]]+Table5[[#This Row],[Comments]])/Table5[[#This Row],[Impressions]]</f>
        <v>0.10399399962497656</v>
      </c>
      <c r="Q262" s="27">
        <f>Table5[[#This Row],[Likes]]+Table5[[#This Row],[Shares]]+Table5[[#This Row],[Comments]]</f>
        <v>2773</v>
      </c>
    </row>
    <row r="263" spans="1:17" x14ac:dyDescent="0.3">
      <c r="A263" s="1" t="s">
        <v>125</v>
      </c>
      <c r="B263" s="1" t="s">
        <v>23</v>
      </c>
      <c r="C263" s="2">
        <v>45774</v>
      </c>
      <c r="D263" s="1" t="s">
        <v>15</v>
      </c>
      <c r="E263" s="1" t="s">
        <v>19</v>
      </c>
      <c r="F263" s="3">
        <v>1165</v>
      </c>
      <c r="G263" s="3">
        <v>294</v>
      </c>
      <c r="H263" s="3">
        <v>163</v>
      </c>
      <c r="I263" s="3">
        <v>20659</v>
      </c>
      <c r="J263" s="3">
        <v>45926</v>
      </c>
      <c r="K263" s="3">
        <v>111</v>
      </c>
      <c r="L263" s="1" t="s">
        <v>39</v>
      </c>
      <c r="M263" s="1" t="s">
        <v>361</v>
      </c>
      <c r="N263" s="1" t="s">
        <v>21</v>
      </c>
      <c r="O263">
        <f t="shared" si="4"/>
        <v>18</v>
      </c>
      <c r="P263" s="20">
        <f>(Table5[[#This Row],[Likes]]+Table5[[#This Row],[Shares]]+Table5[[#This Row],[Comments]])/Table5[[#This Row],[Impressions]]</f>
        <v>7.8512996756861422E-2</v>
      </c>
      <c r="Q263" s="27">
        <f>Table5[[#This Row],[Likes]]+Table5[[#This Row],[Shares]]+Table5[[#This Row],[Comments]]</f>
        <v>1622</v>
      </c>
    </row>
    <row r="264" spans="1:17" x14ac:dyDescent="0.3">
      <c r="A264" s="1" t="s">
        <v>155</v>
      </c>
      <c r="B264" s="1" t="s">
        <v>14</v>
      </c>
      <c r="C264" s="2">
        <v>45777</v>
      </c>
      <c r="D264" s="1" t="s">
        <v>24</v>
      </c>
      <c r="E264" s="1" t="s">
        <v>25</v>
      </c>
      <c r="F264" s="3">
        <v>3916</v>
      </c>
      <c r="G264" s="3">
        <v>459</v>
      </c>
      <c r="H264" s="3">
        <v>229</v>
      </c>
      <c r="I264" s="3">
        <v>48989</v>
      </c>
      <c r="J264" s="3">
        <v>39768</v>
      </c>
      <c r="K264" s="3">
        <v>200</v>
      </c>
      <c r="L264" s="1" t="s">
        <v>37</v>
      </c>
      <c r="M264" s="1" t="s">
        <v>361</v>
      </c>
      <c r="N264" s="1" t="s">
        <v>49</v>
      </c>
      <c r="O264">
        <f t="shared" si="4"/>
        <v>18</v>
      </c>
      <c r="P264" s="20">
        <f>(Table5[[#This Row],[Likes]]+Table5[[#This Row],[Shares]]+Table5[[#This Row],[Comments]])/Table5[[#This Row],[Impressions]]</f>
        <v>9.3980281287635997E-2</v>
      </c>
      <c r="Q264" s="27">
        <f>Table5[[#This Row],[Likes]]+Table5[[#This Row],[Shares]]+Table5[[#This Row],[Comments]]</f>
        <v>4604</v>
      </c>
    </row>
    <row r="265" spans="1:17" x14ac:dyDescent="0.3">
      <c r="A265" s="1" t="s">
        <v>214</v>
      </c>
      <c r="B265" s="1" t="s">
        <v>23</v>
      </c>
      <c r="C265" s="2">
        <v>45777</v>
      </c>
      <c r="D265" s="1" t="s">
        <v>24</v>
      </c>
      <c r="E265" s="1" t="s">
        <v>27</v>
      </c>
      <c r="F265" s="3">
        <v>3929</v>
      </c>
      <c r="G265" s="3">
        <v>275</v>
      </c>
      <c r="H265" s="3">
        <v>330</v>
      </c>
      <c r="I265" s="3">
        <v>58329</v>
      </c>
      <c r="J265" s="3">
        <v>33196</v>
      </c>
      <c r="K265" s="3">
        <v>85</v>
      </c>
      <c r="L265" s="1" t="s">
        <v>358</v>
      </c>
      <c r="M265" s="1" t="s">
        <v>37</v>
      </c>
      <c r="N265" s="1" t="s">
        <v>17</v>
      </c>
      <c r="O265">
        <f t="shared" si="4"/>
        <v>18</v>
      </c>
      <c r="P265" s="20">
        <f>(Table5[[#This Row],[Likes]]+Table5[[#This Row],[Shares]]+Table5[[#This Row],[Comments]])/Table5[[#This Row],[Impressions]]</f>
        <v>7.7731488624869283E-2</v>
      </c>
      <c r="Q265" s="27">
        <f>Table5[[#This Row],[Likes]]+Table5[[#This Row],[Shares]]+Table5[[#This Row],[Comments]]</f>
        <v>4534</v>
      </c>
    </row>
    <row r="266" spans="1:17" x14ac:dyDescent="0.3">
      <c r="A266" s="1" t="s">
        <v>244</v>
      </c>
      <c r="B266" s="1" t="s">
        <v>23</v>
      </c>
      <c r="C266" s="2">
        <v>45780</v>
      </c>
      <c r="D266" s="1" t="s">
        <v>24</v>
      </c>
      <c r="E266" s="1" t="s">
        <v>77</v>
      </c>
      <c r="F266" s="3">
        <v>1010</v>
      </c>
      <c r="G266" s="3">
        <v>361</v>
      </c>
      <c r="H266" s="3">
        <v>240</v>
      </c>
      <c r="I266" s="3">
        <v>47229</v>
      </c>
      <c r="J266" s="3">
        <v>72573</v>
      </c>
      <c r="K266" s="3">
        <v>275</v>
      </c>
      <c r="L266" s="1" t="s">
        <v>39</v>
      </c>
      <c r="M266" s="1" t="s">
        <v>37</v>
      </c>
      <c r="N266" s="1" t="s">
        <v>17</v>
      </c>
      <c r="O266">
        <f t="shared" si="4"/>
        <v>18</v>
      </c>
      <c r="P266" s="20">
        <f>(Table5[[#This Row],[Likes]]+Table5[[#This Row],[Shares]]+Table5[[#This Row],[Comments]])/Table5[[#This Row],[Impressions]]</f>
        <v>3.4110398272247981E-2</v>
      </c>
      <c r="Q266" s="27">
        <f>Table5[[#This Row],[Likes]]+Table5[[#This Row],[Shares]]+Table5[[#This Row],[Comments]]</f>
        <v>1611</v>
      </c>
    </row>
    <row r="267" spans="1:17" x14ac:dyDescent="0.3">
      <c r="A267" s="1" t="s">
        <v>13</v>
      </c>
      <c r="B267" s="1" t="s">
        <v>14</v>
      </c>
      <c r="C267" s="2">
        <v>45781</v>
      </c>
      <c r="D267" s="1" t="s">
        <v>15</v>
      </c>
      <c r="E267" s="1" t="s">
        <v>16</v>
      </c>
      <c r="F267" s="3">
        <v>2414</v>
      </c>
      <c r="G267" s="3">
        <v>245</v>
      </c>
      <c r="H267" s="3">
        <v>137</v>
      </c>
      <c r="I267" s="3">
        <v>21181</v>
      </c>
      <c r="J267" s="3">
        <v>45292</v>
      </c>
      <c r="K267" s="3">
        <v>133</v>
      </c>
      <c r="L267" s="1" t="s">
        <v>39</v>
      </c>
      <c r="M267" s="1" t="s">
        <v>37</v>
      </c>
      <c r="N267" s="1" t="s">
        <v>17</v>
      </c>
      <c r="O267">
        <f t="shared" si="4"/>
        <v>19</v>
      </c>
      <c r="P267" s="20">
        <f>(Table5[[#This Row],[Likes]]+Table5[[#This Row],[Shares]]+Table5[[#This Row],[Comments]])/Table5[[#This Row],[Impressions]]</f>
        <v>0.13200509890939993</v>
      </c>
      <c r="Q267" s="27">
        <f>Table5[[#This Row],[Likes]]+Table5[[#This Row],[Shares]]+Table5[[#This Row],[Comments]]</f>
        <v>2796</v>
      </c>
    </row>
    <row r="268" spans="1:17" x14ac:dyDescent="0.3">
      <c r="A268" s="1" t="s">
        <v>150</v>
      </c>
      <c r="B268" s="1" t="s">
        <v>14</v>
      </c>
      <c r="C268" s="2">
        <v>45781</v>
      </c>
      <c r="D268" s="1" t="s">
        <v>24</v>
      </c>
      <c r="E268" s="1" t="s">
        <v>25</v>
      </c>
      <c r="F268" s="3">
        <v>1311</v>
      </c>
      <c r="G268" s="3">
        <v>181</v>
      </c>
      <c r="H268" s="3">
        <v>361</v>
      </c>
      <c r="I268" s="3">
        <v>37148</v>
      </c>
      <c r="J268" s="3">
        <v>44875</v>
      </c>
      <c r="K268" s="3">
        <v>245</v>
      </c>
      <c r="L268" s="1" t="s">
        <v>37</v>
      </c>
      <c r="M268" s="1" t="s">
        <v>361</v>
      </c>
      <c r="N268" s="1" t="s">
        <v>49</v>
      </c>
      <c r="O268">
        <f t="shared" si="4"/>
        <v>19</v>
      </c>
      <c r="P268" s="20">
        <f>(Table5[[#This Row],[Likes]]+Table5[[#This Row],[Shares]]+Table5[[#This Row],[Comments]])/Table5[[#This Row],[Impressions]]</f>
        <v>4.9881554861634543E-2</v>
      </c>
      <c r="Q268" s="27">
        <f>Table5[[#This Row],[Likes]]+Table5[[#This Row],[Shares]]+Table5[[#This Row],[Comments]]</f>
        <v>1853</v>
      </c>
    </row>
    <row r="269" spans="1:17" x14ac:dyDescent="0.3">
      <c r="A269" s="1" t="s">
        <v>107</v>
      </c>
      <c r="B269" s="1" t="s">
        <v>29</v>
      </c>
      <c r="C269" s="2">
        <v>45783</v>
      </c>
      <c r="D269" s="1" t="s">
        <v>51</v>
      </c>
      <c r="E269" s="1" t="s">
        <v>16</v>
      </c>
      <c r="F269" s="3">
        <v>1085</v>
      </c>
      <c r="G269" s="3">
        <v>496</v>
      </c>
      <c r="H269" s="3">
        <v>320</v>
      </c>
      <c r="I269" s="3">
        <v>36528</v>
      </c>
      <c r="J269" s="3">
        <v>38599</v>
      </c>
      <c r="K269" s="3">
        <v>270</v>
      </c>
      <c r="L269" s="1" t="s">
        <v>20</v>
      </c>
      <c r="M269" s="1" t="s">
        <v>39</v>
      </c>
      <c r="N269" s="1" t="s">
        <v>52</v>
      </c>
      <c r="O269">
        <f t="shared" si="4"/>
        <v>19</v>
      </c>
      <c r="P269" s="20">
        <f>(Table5[[#This Row],[Likes]]+Table5[[#This Row],[Shares]]+Table5[[#This Row],[Comments]])/Table5[[#This Row],[Impressions]]</f>
        <v>5.2042268944371438E-2</v>
      </c>
      <c r="Q269" s="27">
        <f>Table5[[#This Row],[Likes]]+Table5[[#This Row],[Shares]]+Table5[[#This Row],[Comments]]</f>
        <v>1901</v>
      </c>
    </row>
    <row r="270" spans="1:17" x14ac:dyDescent="0.3">
      <c r="A270" s="1" t="s">
        <v>68</v>
      </c>
      <c r="B270" s="1" t="s">
        <v>23</v>
      </c>
      <c r="C270" s="2">
        <v>45785</v>
      </c>
      <c r="D270" s="1" t="s">
        <v>24</v>
      </c>
      <c r="E270" s="1" t="s">
        <v>45</v>
      </c>
      <c r="F270" s="3">
        <v>3316</v>
      </c>
      <c r="G270" s="3">
        <v>332</v>
      </c>
      <c r="H270" s="3">
        <v>268</v>
      </c>
      <c r="I270" s="3">
        <v>40095</v>
      </c>
      <c r="J270" s="3">
        <v>36913</v>
      </c>
      <c r="K270" s="3">
        <v>265</v>
      </c>
      <c r="L270" s="1" t="s">
        <v>358</v>
      </c>
      <c r="M270" s="1" t="s">
        <v>37</v>
      </c>
      <c r="N270" s="1" t="s">
        <v>17</v>
      </c>
      <c r="O270">
        <f t="shared" si="4"/>
        <v>19</v>
      </c>
      <c r="P270" s="20">
        <f>(Table5[[#This Row],[Likes]]+Table5[[#This Row],[Shares]]+Table5[[#This Row],[Comments]])/Table5[[#This Row],[Impressions]]</f>
        <v>9.7668038408779148E-2</v>
      </c>
      <c r="Q270" s="27">
        <f>Table5[[#This Row],[Likes]]+Table5[[#This Row],[Shares]]+Table5[[#This Row],[Comments]]</f>
        <v>3916</v>
      </c>
    </row>
    <row r="271" spans="1:17" x14ac:dyDescent="0.3">
      <c r="A271" s="1" t="s">
        <v>255</v>
      </c>
      <c r="B271" s="1" t="s">
        <v>23</v>
      </c>
      <c r="C271" s="2">
        <v>45786</v>
      </c>
      <c r="D271" s="1" t="s">
        <v>24</v>
      </c>
      <c r="E271" s="1" t="s">
        <v>30</v>
      </c>
      <c r="F271" s="3">
        <v>2778</v>
      </c>
      <c r="G271" s="3">
        <v>241</v>
      </c>
      <c r="H271" s="3">
        <v>317</v>
      </c>
      <c r="I271" s="3">
        <v>26247</v>
      </c>
      <c r="J271" s="3">
        <v>20677</v>
      </c>
      <c r="K271" s="3">
        <v>282</v>
      </c>
      <c r="L271" s="1" t="s">
        <v>358</v>
      </c>
      <c r="M271" s="1" t="s">
        <v>37</v>
      </c>
      <c r="N271" s="1" t="s">
        <v>17</v>
      </c>
      <c r="O271">
        <f t="shared" si="4"/>
        <v>19</v>
      </c>
      <c r="P271" s="20">
        <f>(Table5[[#This Row],[Likes]]+Table5[[#This Row],[Shares]]+Table5[[#This Row],[Comments]])/Table5[[#This Row],[Impressions]]</f>
        <v>0.1271002400274317</v>
      </c>
      <c r="Q271" s="27">
        <f>Table5[[#This Row],[Likes]]+Table5[[#This Row],[Shares]]+Table5[[#This Row],[Comments]]</f>
        <v>3336</v>
      </c>
    </row>
    <row r="272" spans="1:17" x14ac:dyDescent="0.3">
      <c r="A272" s="1" t="s">
        <v>59</v>
      </c>
      <c r="B272" s="1" t="s">
        <v>23</v>
      </c>
      <c r="C272" s="2">
        <v>45791</v>
      </c>
      <c r="D272" s="1" t="s">
        <v>24</v>
      </c>
      <c r="E272" s="1" t="s">
        <v>43</v>
      </c>
      <c r="F272" s="3">
        <v>2707</v>
      </c>
      <c r="G272" s="3">
        <v>103</v>
      </c>
      <c r="H272" s="3">
        <v>51</v>
      </c>
      <c r="I272" s="3">
        <v>55302</v>
      </c>
      <c r="J272" s="3">
        <v>18801</v>
      </c>
      <c r="K272" s="3">
        <v>147</v>
      </c>
      <c r="L272" s="1" t="s">
        <v>20</v>
      </c>
      <c r="M272" s="1" t="s">
        <v>358</v>
      </c>
      <c r="N272" s="1" t="s">
        <v>17</v>
      </c>
      <c r="O272">
        <f t="shared" si="4"/>
        <v>20</v>
      </c>
      <c r="P272" s="20">
        <f>(Table5[[#This Row],[Likes]]+Table5[[#This Row],[Shares]]+Table5[[#This Row],[Comments]])/Table5[[#This Row],[Impressions]]</f>
        <v>5.173411449857148E-2</v>
      </c>
      <c r="Q272" s="27">
        <f>Table5[[#This Row],[Likes]]+Table5[[#This Row],[Shares]]+Table5[[#This Row],[Comments]]</f>
        <v>2861</v>
      </c>
    </row>
    <row r="273" spans="1:17" x14ac:dyDescent="0.3">
      <c r="A273" s="1" t="s">
        <v>120</v>
      </c>
      <c r="B273" s="1" t="s">
        <v>23</v>
      </c>
      <c r="C273" s="2">
        <v>45791</v>
      </c>
      <c r="D273" s="1" t="s">
        <v>24</v>
      </c>
      <c r="E273" s="1" t="s">
        <v>27</v>
      </c>
      <c r="F273" s="3">
        <v>1371</v>
      </c>
      <c r="G273" s="3">
        <v>139</v>
      </c>
      <c r="H273" s="3">
        <v>96</v>
      </c>
      <c r="I273" s="3">
        <v>36140</v>
      </c>
      <c r="J273" s="3">
        <v>39395</v>
      </c>
      <c r="K273" s="3">
        <v>169</v>
      </c>
      <c r="L273" s="1" t="s">
        <v>39</v>
      </c>
      <c r="M273" s="1" t="s">
        <v>37</v>
      </c>
      <c r="N273" s="1" t="s">
        <v>17</v>
      </c>
      <c r="O273">
        <f t="shared" si="4"/>
        <v>20</v>
      </c>
      <c r="P273" s="20">
        <f>(Table5[[#This Row],[Likes]]+Table5[[#This Row],[Shares]]+Table5[[#This Row],[Comments]])/Table5[[#This Row],[Impressions]]</f>
        <v>4.4438295517432211E-2</v>
      </c>
      <c r="Q273" s="27">
        <f>Table5[[#This Row],[Likes]]+Table5[[#This Row],[Shares]]+Table5[[#This Row],[Comments]]</f>
        <v>1606</v>
      </c>
    </row>
    <row r="274" spans="1:17" x14ac:dyDescent="0.3">
      <c r="A274" s="1" t="s">
        <v>264</v>
      </c>
      <c r="B274" s="1" t="s">
        <v>29</v>
      </c>
      <c r="C274" s="2">
        <v>45791</v>
      </c>
      <c r="D274" s="1" t="s">
        <v>15</v>
      </c>
      <c r="E274" s="1" t="s">
        <v>16</v>
      </c>
      <c r="F274" s="3">
        <v>1701</v>
      </c>
      <c r="G274" s="3">
        <v>272</v>
      </c>
      <c r="H274" s="3">
        <v>385</v>
      </c>
      <c r="I274" s="3">
        <v>47496</v>
      </c>
      <c r="J274" s="3">
        <v>40832</v>
      </c>
      <c r="K274" s="3">
        <v>246</v>
      </c>
      <c r="L274" s="1" t="s">
        <v>20</v>
      </c>
      <c r="M274" s="1" t="s">
        <v>359</v>
      </c>
      <c r="N274" s="1" t="s">
        <v>21</v>
      </c>
      <c r="O274">
        <f t="shared" si="4"/>
        <v>20</v>
      </c>
      <c r="P274" s="20">
        <f>(Table5[[#This Row],[Likes]]+Table5[[#This Row],[Shares]]+Table5[[#This Row],[Comments]])/Table5[[#This Row],[Impressions]]</f>
        <v>4.9646286003031836E-2</v>
      </c>
      <c r="Q274" s="27">
        <f>Table5[[#This Row],[Likes]]+Table5[[#This Row],[Shares]]+Table5[[#This Row],[Comments]]</f>
        <v>2358</v>
      </c>
    </row>
    <row r="275" spans="1:17" x14ac:dyDescent="0.3">
      <c r="A275" s="1" t="s">
        <v>168</v>
      </c>
      <c r="B275" s="1" t="s">
        <v>23</v>
      </c>
      <c r="C275" s="2">
        <v>45792</v>
      </c>
      <c r="D275" s="1" t="s">
        <v>15</v>
      </c>
      <c r="E275" s="1" t="s">
        <v>25</v>
      </c>
      <c r="F275" s="3">
        <v>1583</v>
      </c>
      <c r="G275" s="3">
        <v>433</v>
      </c>
      <c r="H275" s="3">
        <v>249</v>
      </c>
      <c r="I275" s="3">
        <v>30256</v>
      </c>
      <c r="J275" s="3">
        <v>47066</v>
      </c>
      <c r="K275" s="3">
        <v>196</v>
      </c>
      <c r="L275" s="1" t="s">
        <v>37</v>
      </c>
      <c r="M275" s="1" t="s">
        <v>361</v>
      </c>
      <c r="N275" s="1" t="s">
        <v>17</v>
      </c>
      <c r="O275">
        <f t="shared" si="4"/>
        <v>20</v>
      </c>
      <c r="P275" s="20">
        <f>(Table5[[#This Row],[Likes]]+Table5[[#This Row],[Shares]]+Table5[[#This Row],[Comments]])/Table5[[#This Row],[Impressions]]</f>
        <v>7.4861184558434685E-2</v>
      </c>
      <c r="Q275" s="27">
        <f>Table5[[#This Row],[Likes]]+Table5[[#This Row],[Shares]]+Table5[[#This Row],[Comments]]</f>
        <v>2265</v>
      </c>
    </row>
    <row r="276" spans="1:17" x14ac:dyDescent="0.3">
      <c r="A276" s="1" t="s">
        <v>284</v>
      </c>
      <c r="B276" s="1" t="s">
        <v>23</v>
      </c>
      <c r="C276" s="2">
        <v>45792</v>
      </c>
      <c r="D276" s="1" t="s">
        <v>15</v>
      </c>
      <c r="E276" s="1" t="s">
        <v>45</v>
      </c>
      <c r="F276" s="3">
        <v>4782</v>
      </c>
      <c r="G276" s="3">
        <v>210</v>
      </c>
      <c r="H276" s="3">
        <v>311</v>
      </c>
      <c r="I276" s="3">
        <v>29793</v>
      </c>
      <c r="J276" s="3">
        <v>37543</v>
      </c>
      <c r="K276" s="3">
        <v>145</v>
      </c>
      <c r="L276" s="1" t="s">
        <v>37</v>
      </c>
      <c r="M276" s="1" t="s">
        <v>361</v>
      </c>
      <c r="N276" s="1" t="s">
        <v>17</v>
      </c>
      <c r="O276">
        <f t="shared" si="4"/>
        <v>20</v>
      </c>
      <c r="P276" s="20">
        <f>(Table5[[#This Row],[Likes]]+Table5[[#This Row],[Shares]]+Table5[[#This Row],[Comments]])/Table5[[#This Row],[Impressions]]</f>
        <v>0.17799483100057059</v>
      </c>
      <c r="Q276" s="27">
        <f>Table5[[#This Row],[Likes]]+Table5[[#This Row],[Shares]]+Table5[[#This Row],[Comments]]</f>
        <v>5303</v>
      </c>
    </row>
    <row r="277" spans="1:17" x14ac:dyDescent="0.3">
      <c r="A277" s="1" t="s">
        <v>221</v>
      </c>
      <c r="B277" s="1" t="s">
        <v>29</v>
      </c>
      <c r="C277" s="2">
        <v>45795</v>
      </c>
      <c r="D277" s="1" t="s">
        <v>51</v>
      </c>
      <c r="E277" s="1" t="s">
        <v>27</v>
      </c>
      <c r="F277" s="3">
        <v>4210</v>
      </c>
      <c r="G277" s="3">
        <v>319</v>
      </c>
      <c r="H277" s="3">
        <v>350</v>
      </c>
      <c r="I277" s="3">
        <v>37762</v>
      </c>
      <c r="J277" s="3">
        <v>55162</v>
      </c>
      <c r="K277" s="3">
        <v>204</v>
      </c>
      <c r="L277" s="1" t="s">
        <v>20</v>
      </c>
      <c r="M277" s="1" t="s">
        <v>39</v>
      </c>
      <c r="N277" s="1" t="s">
        <v>52</v>
      </c>
      <c r="O277">
        <f t="shared" si="4"/>
        <v>21</v>
      </c>
      <c r="P277" s="20">
        <f>(Table5[[#This Row],[Likes]]+Table5[[#This Row],[Shares]]+Table5[[#This Row],[Comments]])/Table5[[#This Row],[Impressions]]</f>
        <v>0.12920396165457337</v>
      </c>
      <c r="Q277" s="27">
        <f>Table5[[#This Row],[Likes]]+Table5[[#This Row],[Shares]]+Table5[[#This Row],[Comments]]</f>
        <v>4879</v>
      </c>
    </row>
    <row r="278" spans="1:17" x14ac:dyDescent="0.3">
      <c r="A278" s="1" t="s">
        <v>180</v>
      </c>
      <c r="B278" s="1" t="s">
        <v>14</v>
      </c>
      <c r="C278" s="2">
        <v>45799</v>
      </c>
      <c r="D278" s="1" t="s">
        <v>15</v>
      </c>
      <c r="E278" s="1" t="s">
        <v>16</v>
      </c>
      <c r="F278" s="3">
        <v>2633</v>
      </c>
      <c r="G278" s="3">
        <v>318</v>
      </c>
      <c r="H278" s="3">
        <v>380</v>
      </c>
      <c r="I278" s="3">
        <v>40869</v>
      </c>
      <c r="J278" s="3">
        <v>64474</v>
      </c>
      <c r="K278" s="3">
        <v>245</v>
      </c>
      <c r="L278" s="1" t="s">
        <v>20</v>
      </c>
      <c r="M278" s="1" t="s">
        <v>361</v>
      </c>
      <c r="N278" s="1" t="s">
        <v>21</v>
      </c>
      <c r="O278">
        <f t="shared" si="4"/>
        <v>21</v>
      </c>
      <c r="P278" s="20">
        <f>(Table5[[#This Row],[Likes]]+Table5[[#This Row],[Shares]]+Table5[[#This Row],[Comments]])/Table5[[#This Row],[Impressions]]</f>
        <v>8.1504318676747664E-2</v>
      </c>
      <c r="Q278" s="27">
        <f>Table5[[#This Row],[Likes]]+Table5[[#This Row],[Shares]]+Table5[[#This Row],[Comments]]</f>
        <v>3331</v>
      </c>
    </row>
    <row r="279" spans="1:17" x14ac:dyDescent="0.3">
      <c r="A279" s="1" t="s">
        <v>195</v>
      </c>
      <c r="B279" s="1" t="s">
        <v>14</v>
      </c>
      <c r="C279" s="2">
        <v>45803</v>
      </c>
      <c r="D279" s="1" t="s">
        <v>15</v>
      </c>
      <c r="E279" s="1" t="s">
        <v>16</v>
      </c>
      <c r="F279" s="3">
        <v>3086</v>
      </c>
      <c r="G279" s="3">
        <v>148</v>
      </c>
      <c r="H279" s="3">
        <v>310</v>
      </c>
      <c r="I279" s="3">
        <v>22824</v>
      </c>
      <c r="J279" s="3">
        <v>58103</v>
      </c>
      <c r="K279" s="3">
        <v>275</v>
      </c>
      <c r="L279" s="1" t="s">
        <v>20</v>
      </c>
      <c r="M279" s="1" t="s">
        <v>361</v>
      </c>
      <c r="N279" s="1" t="s">
        <v>21</v>
      </c>
      <c r="O279">
        <f t="shared" si="4"/>
        <v>22</v>
      </c>
      <c r="P279" s="20">
        <f>(Table5[[#This Row],[Likes]]+Table5[[#This Row],[Shares]]+Table5[[#This Row],[Comments]])/Table5[[#This Row],[Impressions]]</f>
        <v>0.1552751489660007</v>
      </c>
      <c r="Q279" s="27">
        <f>Table5[[#This Row],[Likes]]+Table5[[#This Row],[Shares]]+Table5[[#This Row],[Comments]]</f>
        <v>3544</v>
      </c>
    </row>
    <row r="280" spans="1:17" x14ac:dyDescent="0.3">
      <c r="A280" s="1" t="s">
        <v>70</v>
      </c>
      <c r="B280" s="1" t="s">
        <v>23</v>
      </c>
      <c r="C280" s="2">
        <v>45804</v>
      </c>
      <c r="D280" s="1" t="s">
        <v>24</v>
      </c>
      <c r="E280" s="1" t="s">
        <v>19</v>
      </c>
      <c r="F280" s="3">
        <v>4095</v>
      </c>
      <c r="G280" s="3">
        <v>385</v>
      </c>
      <c r="H280" s="3">
        <v>400</v>
      </c>
      <c r="I280" s="3">
        <v>45300</v>
      </c>
      <c r="J280" s="3">
        <v>31795</v>
      </c>
      <c r="K280" s="3">
        <v>80</v>
      </c>
      <c r="L280" s="1" t="s">
        <v>358</v>
      </c>
      <c r="M280" s="1" t="s">
        <v>37</v>
      </c>
      <c r="N280" s="1" t="s">
        <v>17</v>
      </c>
      <c r="O280">
        <f t="shared" si="4"/>
        <v>22</v>
      </c>
      <c r="P280" s="20">
        <f>(Table5[[#This Row],[Likes]]+Table5[[#This Row],[Shares]]+Table5[[#This Row],[Comments]])/Table5[[#This Row],[Impressions]]</f>
        <v>0.10772626931567329</v>
      </c>
      <c r="Q280" s="27">
        <f>Table5[[#This Row],[Likes]]+Table5[[#This Row],[Shares]]+Table5[[#This Row],[Comments]]</f>
        <v>4880</v>
      </c>
    </row>
    <row r="281" spans="1:17" x14ac:dyDescent="0.3">
      <c r="A281" s="1" t="s">
        <v>111</v>
      </c>
      <c r="B281" s="1" t="s">
        <v>23</v>
      </c>
      <c r="C281" s="2">
        <v>45805</v>
      </c>
      <c r="D281" s="1" t="s">
        <v>15</v>
      </c>
      <c r="E281" s="1" t="s">
        <v>43</v>
      </c>
      <c r="F281" s="3">
        <v>2418</v>
      </c>
      <c r="G281" s="3">
        <v>161</v>
      </c>
      <c r="H281" s="3">
        <v>360</v>
      </c>
      <c r="I281" s="3">
        <v>30589</v>
      </c>
      <c r="J281" s="3">
        <v>41383</v>
      </c>
      <c r="K281" s="3">
        <v>88</v>
      </c>
      <c r="L281" s="1" t="s">
        <v>37</v>
      </c>
      <c r="M281" s="1" t="s">
        <v>361</v>
      </c>
      <c r="N281" s="1" t="s">
        <v>17</v>
      </c>
      <c r="O281">
        <f t="shared" si="4"/>
        <v>22</v>
      </c>
      <c r="P281" s="20">
        <f>(Table5[[#This Row],[Likes]]+Table5[[#This Row],[Shares]]+Table5[[#This Row],[Comments]])/Table5[[#This Row],[Impressions]]</f>
        <v>9.6080290300434801E-2</v>
      </c>
      <c r="Q281" s="27">
        <f>Table5[[#This Row],[Likes]]+Table5[[#This Row],[Shares]]+Table5[[#This Row],[Comments]]</f>
        <v>2939</v>
      </c>
    </row>
    <row r="282" spans="1:17" x14ac:dyDescent="0.3">
      <c r="A282" s="1" t="s">
        <v>179</v>
      </c>
      <c r="B282" s="1" t="s">
        <v>23</v>
      </c>
      <c r="C282" s="2">
        <v>45805</v>
      </c>
      <c r="D282" s="1" t="s">
        <v>24</v>
      </c>
      <c r="E282" s="1" t="s">
        <v>77</v>
      </c>
      <c r="F282" s="3">
        <v>4287</v>
      </c>
      <c r="G282" s="3">
        <v>273</v>
      </c>
      <c r="H282" s="3">
        <v>122</v>
      </c>
      <c r="I282" s="3">
        <v>40792</v>
      </c>
      <c r="J282" s="3">
        <v>23878</v>
      </c>
      <c r="K282" s="3">
        <v>277</v>
      </c>
      <c r="L282" s="1" t="s">
        <v>358</v>
      </c>
      <c r="M282" s="1" t="s">
        <v>37</v>
      </c>
      <c r="N282" s="1" t="s">
        <v>17</v>
      </c>
      <c r="O282">
        <f t="shared" si="4"/>
        <v>22</v>
      </c>
      <c r="P282" s="20">
        <f>(Table5[[#This Row],[Likes]]+Table5[[#This Row],[Shares]]+Table5[[#This Row],[Comments]])/Table5[[#This Row],[Impressions]]</f>
        <v>0.11477740733477153</v>
      </c>
      <c r="Q282" s="27">
        <f>Table5[[#This Row],[Likes]]+Table5[[#This Row],[Shares]]+Table5[[#This Row],[Comments]]</f>
        <v>4682</v>
      </c>
    </row>
    <row r="283" spans="1:17" x14ac:dyDescent="0.3">
      <c r="A283" s="1" t="s">
        <v>153</v>
      </c>
      <c r="B283" s="1" t="s">
        <v>23</v>
      </c>
      <c r="C283" s="2">
        <v>45806</v>
      </c>
      <c r="D283" s="1" t="s">
        <v>24</v>
      </c>
      <c r="E283" s="1" t="s">
        <v>30</v>
      </c>
      <c r="F283" s="3">
        <v>2134</v>
      </c>
      <c r="G283" s="3">
        <v>322</v>
      </c>
      <c r="H283" s="3">
        <v>114</v>
      </c>
      <c r="I283" s="3">
        <v>44338</v>
      </c>
      <c r="J283" s="3">
        <v>52165</v>
      </c>
      <c r="K283" s="3">
        <v>176</v>
      </c>
      <c r="L283" s="1" t="s">
        <v>358</v>
      </c>
      <c r="M283" s="1" t="s">
        <v>37</v>
      </c>
      <c r="N283" s="1" t="s">
        <v>17</v>
      </c>
      <c r="O283">
        <f t="shared" si="4"/>
        <v>22</v>
      </c>
      <c r="P283" s="20">
        <f>(Table5[[#This Row],[Likes]]+Table5[[#This Row],[Shares]]+Table5[[#This Row],[Comments]])/Table5[[#This Row],[Impressions]]</f>
        <v>5.7963823356939871E-2</v>
      </c>
      <c r="Q283" s="27">
        <f>Table5[[#This Row],[Likes]]+Table5[[#This Row],[Shares]]+Table5[[#This Row],[Comments]]</f>
        <v>2570</v>
      </c>
    </row>
    <row r="284" spans="1:17" x14ac:dyDescent="0.3">
      <c r="A284" s="1" t="s">
        <v>251</v>
      </c>
      <c r="B284" s="1" t="s">
        <v>14</v>
      </c>
      <c r="C284" s="2">
        <v>45808</v>
      </c>
      <c r="D284" s="1" t="s">
        <v>15</v>
      </c>
      <c r="E284" s="1" t="s">
        <v>32</v>
      </c>
      <c r="F284" s="3">
        <v>2169</v>
      </c>
      <c r="G284" s="3">
        <v>240</v>
      </c>
      <c r="H284" s="3">
        <v>57</v>
      </c>
      <c r="I284" s="3">
        <v>26109</v>
      </c>
      <c r="J284" s="3">
        <v>46667</v>
      </c>
      <c r="K284" s="3">
        <v>133</v>
      </c>
      <c r="L284" s="1" t="s">
        <v>39</v>
      </c>
      <c r="M284" s="1" t="s">
        <v>37</v>
      </c>
      <c r="N284" s="1" t="s">
        <v>17</v>
      </c>
      <c r="O284">
        <f t="shared" si="4"/>
        <v>22</v>
      </c>
      <c r="P284" s="20">
        <f>(Table5[[#This Row],[Likes]]+Table5[[#This Row],[Shares]]+Table5[[#This Row],[Comments]])/Table5[[#This Row],[Impressions]]</f>
        <v>9.4450189589796618E-2</v>
      </c>
      <c r="Q284" s="27">
        <f>Table5[[#This Row],[Likes]]+Table5[[#This Row],[Shares]]+Table5[[#This Row],[Comments]]</f>
        <v>2466</v>
      </c>
    </row>
    <row r="285" spans="1:17" x14ac:dyDescent="0.3">
      <c r="A285" s="1" t="s">
        <v>298</v>
      </c>
      <c r="B285" s="1" t="s">
        <v>29</v>
      </c>
      <c r="C285" s="2">
        <v>45808</v>
      </c>
      <c r="D285" s="1" t="s">
        <v>51</v>
      </c>
      <c r="E285" s="1" t="s">
        <v>34</v>
      </c>
      <c r="F285" s="3">
        <v>2162</v>
      </c>
      <c r="G285" s="3">
        <v>318</v>
      </c>
      <c r="H285" s="3">
        <v>83</v>
      </c>
      <c r="I285" s="3">
        <v>46719</v>
      </c>
      <c r="J285" s="3">
        <v>20482</v>
      </c>
      <c r="K285" s="3">
        <v>185</v>
      </c>
      <c r="L285" s="1" t="s">
        <v>20</v>
      </c>
      <c r="M285" s="1" t="s">
        <v>39</v>
      </c>
      <c r="N285" s="1" t="s">
        <v>52</v>
      </c>
      <c r="O285">
        <f t="shared" si="4"/>
        <v>22</v>
      </c>
      <c r="P285" s="20">
        <f>(Table5[[#This Row],[Likes]]+Table5[[#This Row],[Shares]]+Table5[[#This Row],[Comments]])/Table5[[#This Row],[Impressions]]</f>
        <v>5.4859907104176028E-2</v>
      </c>
      <c r="Q285" s="27">
        <f>Table5[[#This Row],[Likes]]+Table5[[#This Row],[Shares]]+Table5[[#This Row],[Comments]]</f>
        <v>2563</v>
      </c>
    </row>
    <row r="286" spans="1:17" x14ac:dyDescent="0.3">
      <c r="A286" s="1" t="s">
        <v>222</v>
      </c>
      <c r="B286" s="1" t="s">
        <v>14</v>
      </c>
      <c r="C286" s="2">
        <v>45814</v>
      </c>
      <c r="D286" s="1" t="s">
        <v>15</v>
      </c>
      <c r="E286" s="1" t="s">
        <v>27</v>
      </c>
      <c r="F286" s="3">
        <v>3987</v>
      </c>
      <c r="G286" s="3">
        <v>171</v>
      </c>
      <c r="H286" s="3">
        <v>274</v>
      </c>
      <c r="I286" s="3">
        <v>45122</v>
      </c>
      <c r="J286" s="3">
        <v>65431</v>
      </c>
      <c r="K286" s="3">
        <v>168</v>
      </c>
      <c r="L286" s="1" t="s">
        <v>20</v>
      </c>
      <c r="M286" s="1" t="s">
        <v>361</v>
      </c>
      <c r="N286" s="1" t="s">
        <v>21</v>
      </c>
      <c r="O286">
        <f t="shared" si="4"/>
        <v>23</v>
      </c>
      <c r="P286" s="20">
        <f>(Table5[[#This Row],[Likes]]+Table5[[#This Row],[Shares]]+Table5[[#This Row],[Comments]])/Table5[[#This Row],[Impressions]]</f>
        <v>9.8222596516111871E-2</v>
      </c>
      <c r="Q286" s="27">
        <f>Table5[[#This Row],[Likes]]+Table5[[#This Row],[Shares]]+Table5[[#This Row],[Comments]]</f>
        <v>4432</v>
      </c>
    </row>
    <row r="287" spans="1:17" x14ac:dyDescent="0.3">
      <c r="A287" s="1" t="s">
        <v>278</v>
      </c>
      <c r="B287" s="1" t="s">
        <v>29</v>
      </c>
      <c r="C287" s="2">
        <v>45816</v>
      </c>
      <c r="D287" s="1" t="s">
        <v>15</v>
      </c>
      <c r="E287" s="1" t="s">
        <v>30</v>
      </c>
      <c r="F287" s="3">
        <v>4375</v>
      </c>
      <c r="G287" s="3">
        <v>303</v>
      </c>
      <c r="H287" s="3">
        <v>294</v>
      </c>
      <c r="I287" s="3">
        <v>57468</v>
      </c>
      <c r="J287" s="3">
        <v>53397</v>
      </c>
      <c r="K287" s="3">
        <v>159</v>
      </c>
      <c r="L287" s="1" t="s">
        <v>20</v>
      </c>
      <c r="M287" s="1" t="s">
        <v>359</v>
      </c>
      <c r="N287" s="1" t="s">
        <v>21</v>
      </c>
      <c r="O287">
        <f t="shared" si="4"/>
        <v>24</v>
      </c>
      <c r="P287" s="20">
        <f>(Table5[[#This Row],[Likes]]+Table5[[#This Row],[Shares]]+Table5[[#This Row],[Comments]])/Table5[[#This Row],[Impressions]]</f>
        <v>8.6517714206166912E-2</v>
      </c>
      <c r="Q287" s="27">
        <f>Table5[[#This Row],[Likes]]+Table5[[#This Row],[Shares]]+Table5[[#This Row],[Comments]]</f>
        <v>4972</v>
      </c>
    </row>
    <row r="288" spans="1:17" x14ac:dyDescent="0.3">
      <c r="A288" s="1" t="s">
        <v>73</v>
      </c>
      <c r="B288" s="1" t="s">
        <v>23</v>
      </c>
      <c r="C288" s="2">
        <v>45818</v>
      </c>
      <c r="D288" s="1" t="s">
        <v>15</v>
      </c>
      <c r="E288" s="1" t="s">
        <v>19</v>
      </c>
      <c r="F288" s="3">
        <v>3615</v>
      </c>
      <c r="G288" s="3">
        <v>192</v>
      </c>
      <c r="H288" s="3">
        <v>162</v>
      </c>
      <c r="I288" s="3">
        <v>27492</v>
      </c>
      <c r="J288" s="3">
        <v>35341</v>
      </c>
      <c r="K288" s="3">
        <v>125</v>
      </c>
      <c r="L288" s="1" t="s">
        <v>37</v>
      </c>
      <c r="M288" s="1" t="s">
        <v>361</v>
      </c>
      <c r="N288" s="1" t="s">
        <v>17</v>
      </c>
      <c r="O288">
        <f t="shared" si="4"/>
        <v>24</v>
      </c>
      <c r="P288" s="20">
        <f>(Table5[[#This Row],[Likes]]+Table5[[#This Row],[Shares]]+Table5[[#This Row],[Comments]])/Table5[[#This Row],[Impressions]]</f>
        <v>0.14436927106067218</v>
      </c>
      <c r="Q288" s="27">
        <f>Table5[[#This Row],[Likes]]+Table5[[#This Row],[Shares]]+Table5[[#This Row],[Comments]]</f>
        <v>3969</v>
      </c>
    </row>
    <row r="289" spans="1:17" x14ac:dyDescent="0.3">
      <c r="A289" s="1" t="s">
        <v>187</v>
      </c>
      <c r="B289" s="1" t="s">
        <v>23</v>
      </c>
      <c r="C289" s="2">
        <v>45819</v>
      </c>
      <c r="D289" s="1" t="s">
        <v>24</v>
      </c>
      <c r="E289" s="1" t="s">
        <v>19</v>
      </c>
      <c r="F289" s="3">
        <v>3805</v>
      </c>
      <c r="G289" s="3">
        <v>453</v>
      </c>
      <c r="H289" s="3">
        <v>63</v>
      </c>
      <c r="I289" s="3">
        <v>52395</v>
      </c>
      <c r="J289" s="3">
        <v>72934</v>
      </c>
      <c r="K289" s="3">
        <v>87</v>
      </c>
      <c r="L289" s="1" t="s">
        <v>20</v>
      </c>
      <c r="M289" s="1" t="s">
        <v>358</v>
      </c>
      <c r="N289" s="1" t="s">
        <v>17</v>
      </c>
      <c r="O289">
        <f t="shared" si="4"/>
        <v>24</v>
      </c>
      <c r="P289" s="20">
        <f>(Table5[[#This Row],[Likes]]+Table5[[#This Row],[Shares]]+Table5[[#This Row],[Comments]])/Table5[[#This Row],[Impressions]]</f>
        <v>8.2469701307376658E-2</v>
      </c>
      <c r="Q289" s="27">
        <f>Table5[[#This Row],[Likes]]+Table5[[#This Row],[Shares]]+Table5[[#This Row],[Comments]]</f>
        <v>4321</v>
      </c>
    </row>
    <row r="290" spans="1:17" x14ac:dyDescent="0.3">
      <c r="A290" s="1" t="s">
        <v>55</v>
      </c>
      <c r="B290" s="1" t="s">
        <v>14</v>
      </c>
      <c r="C290" s="2">
        <v>45823</v>
      </c>
      <c r="D290" s="1" t="s">
        <v>15</v>
      </c>
      <c r="E290" s="1" t="s">
        <v>32</v>
      </c>
      <c r="F290" s="3">
        <v>4896</v>
      </c>
      <c r="G290" s="3">
        <v>466</v>
      </c>
      <c r="H290" s="3">
        <v>233</v>
      </c>
      <c r="I290" s="3">
        <v>28621</v>
      </c>
      <c r="J290" s="3">
        <v>34270</v>
      </c>
      <c r="K290" s="3">
        <v>84</v>
      </c>
      <c r="L290" s="1" t="s">
        <v>39</v>
      </c>
      <c r="M290" s="1" t="s">
        <v>37</v>
      </c>
      <c r="N290" s="1" t="s">
        <v>17</v>
      </c>
      <c r="O290">
        <f t="shared" si="4"/>
        <v>25</v>
      </c>
      <c r="P290" s="20">
        <f>(Table5[[#This Row],[Likes]]+Table5[[#This Row],[Shares]]+Table5[[#This Row],[Comments]])/Table5[[#This Row],[Impressions]]</f>
        <v>0.19548583208133888</v>
      </c>
      <c r="Q290" s="27">
        <f>Table5[[#This Row],[Likes]]+Table5[[#This Row],[Shares]]+Table5[[#This Row],[Comments]]</f>
        <v>5595</v>
      </c>
    </row>
    <row r="291" spans="1:17" x14ac:dyDescent="0.3">
      <c r="A291" s="1" t="s">
        <v>272</v>
      </c>
      <c r="B291" s="1" t="s">
        <v>14</v>
      </c>
      <c r="C291" s="2">
        <v>45823</v>
      </c>
      <c r="D291" s="1" t="s">
        <v>15</v>
      </c>
      <c r="E291" s="1" t="s">
        <v>19</v>
      </c>
      <c r="F291" s="3">
        <v>2478</v>
      </c>
      <c r="G291" s="3">
        <v>427</v>
      </c>
      <c r="H291" s="3">
        <v>242</v>
      </c>
      <c r="I291" s="3">
        <v>59272</v>
      </c>
      <c r="J291" s="3">
        <v>37833</v>
      </c>
      <c r="K291" s="3">
        <v>214</v>
      </c>
      <c r="L291" s="1" t="s">
        <v>39</v>
      </c>
      <c r="M291" s="1" t="s">
        <v>37</v>
      </c>
      <c r="N291" s="1" t="s">
        <v>17</v>
      </c>
      <c r="O291">
        <f t="shared" si="4"/>
        <v>25</v>
      </c>
      <c r="P291" s="20">
        <f>(Table5[[#This Row],[Likes]]+Table5[[#This Row],[Shares]]+Table5[[#This Row],[Comments]])/Table5[[#This Row],[Impressions]]</f>
        <v>5.3094209744904843E-2</v>
      </c>
      <c r="Q291" s="27">
        <f>Table5[[#This Row],[Likes]]+Table5[[#This Row],[Shares]]+Table5[[#This Row],[Comments]]</f>
        <v>3147</v>
      </c>
    </row>
    <row r="292" spans="1:17" x14ac:dyDescent="0.3">
      <c r="A292" s="1" t="s">
        <v>114</v>
      </c>
      <c r="B292" s="1" t="s">
        <v>14</v>
      </c>
      <c r="C292" s="2">
        <v>45825</v>
      </c>
      <c r="D292" s="1" t="s">
        <v>15</v>
      </c>
      <c r="E292" s="1" t="s">
        <v>30</v>
      </c>
      <c r="F292" s="3">
        <v>2284</v>
      </c>
      <c r="G292" s="3">
        <v>187</v>
      </c>
      <c r="H292" s="3">
        <v>260</v>
      </c>
      <c r="I292" s="3">
        <v>37400</v>
      </c>
      <c r="J292" s="3">
        <v>65014</v>
      </c>
      <c r="K292" s="3">
        <v>157</v>
      </c>
      <c r="L292" s="1" t="s">
        <v>39</v>
      </c>
      <c r="M292" s="1" t="s">
        <v>37</v>
      </c>
      <c r="N292" s="1" t="s">
        <v>17</v>
      </c>
      <c r="O292">
        <f t="shared" si="4"/>
        <v>25</v>
      </c>
      <c r="P292" s="20">
        <f>(Table5[[#This Row],[Likes]]+Table5[[#This Row],[Shares]]+Table5[[#This Row],[Comments]])/Table5[[#This Row],[Impressions]]</f>
        <v>7.3021390374331557E-2</v>
      </c>
      <c r="Q292" s="27">
        <f>Table5[[#This Row],[Likes]]+Table5[[#This Row],[Shares]]+Table5[[#This Row],[Comments]]</f>
        <v>2731</v>
      </c>
    </row>
    <row r="293" spans="1:17" x14ac:dyDescent="0.3">
      <c r="A293" s="1" t="s">
        <v>299</v>
      </c>
      <c r="B293" s="1" t="s">
        <v>23</v>
      </c>
      <c r="C293" s="2">
        <v>45825</v>
      </c>
      <c r="D293" s="1" t="s">
        <v>24</v>
      </c>
      <c r="E293" s="1" t="s">
        <v>19</v>
      </c>
      <c r="F293" s="3">
        <v>4341</v>
      </c>
      <c r="G293" s="3">
        <v>141</v>
      </c>
      <c r="H293" s="3">
        <v>63</v>
      </c>
      <c r="I293" s="3">
        <v>50081</v>
      </c>
      <c r="J293" s="3">
        <v>27507</v>
      </c>
      <c r="K293" s="3">
        <v>221</v>
      </c>
      <c r="L293" s="1" t="s">
        <v>20</v>
      </c>
      <c r="M293" s="1" t="s">
        <v>358</v>
      </c>
      <c r="N293" s="1" t="s">
        <v>17</v>
      </c>
      <c r="O293">
        <f t="shared" si="4"/>
        <v>25</v>
      </c>
      <c r="P293" s="20">
        <f>(Table5[[#This Row],[Likes]]+Table5[[#This Row],[Shares]]+Table5[[#This Row],[Comments]])/Table5[[#This Row],[Impressions]]</f>
        <v>9.0752980172121162E-2</v>
      </c>
      <c r="Q293" s="27">
        <f>Table5[[#This Row],[Likes]]+Table5[[#This Row],[Shares]]+Table5[[#This Row],[Comments]]</f>
        <v>4545</v>
      </c>
    </row>
    <row r="294" spans="1:17" x14ac:dyDescent="0.3">
      <c r="A294" s="1" t="s">
        <v>41</v>
      </c>
      <c r="B294" s="1" t="s">
        <v>23</v>
      </c>
      <c r="C294" s="2">
        <v>45826</v>
      </c>
      <c r="D294" s="1" t="s">
        <v>24</v>
      </c>
      <c r="E294" s="1" t="s">
        <v>16</v>
      </c>
      <c r="F294" s="3">
        <v>3956</v>
      </c>
      <c r="G294" s="3">
        <v>319</v>
      </c>
      <c r="H294" s="3">
        <v>61</v>
      </c>
      <c r="I294" s="3">
        <v>58162</v>
      </c>
      <c r="J294" s="3">
        <v>28720</v>
      </c>
      <c r="K294" s="3">
        <v>213</v>
      </c>
      <c r="L294" s="1" t="s">
        <v>358</v>
      </c>
      <c r="M294" s="1" t="s">
        <v>37</v>
      </c>
      <c r="N294" s="1" t="s">
        <v>17</v>
      </c>
      <c r="O294">
        <f t="shared" si="4"/>
        <v>25</v>
      </c>
      <c r="P294" s="20">
        <f>(Table5[[#This Row],[Likes]]+Table5[[#This Row],[Shares]]+Table5[[#This Row],[Comments]])/Table5[[#This Row],[Impressions]]</f>
        <v>7.4550393727863554E-2</v>
      </c>
      <c r="Q294" s="27">
        <f>Table5[[#This Row],[Likes]]+Table5[[#This Row],[Shares]]+Table5[[#This Row],[Comments]]</f>
        <v>4336</v>
      </c>
    </row>
    <row r="295" spans="1:17" x14ac:dyDescent="0.3">
      <c r="A295" s="1" t="s">
        <v>246</v>
      </c>
      <c r="B295" s="1" t="s">
        <v>23</v>
      </c>
      <c r="C295" s="2">
        <v>45827</v>
      </c>
      <c r="D295" s="1" t="s">
        <v>24</v>
      </c>
      <c r="E295" s="1" t="s">
        <v>32</v>
      </c>
      <c r="F295" s="3">
        <v>1433</v>
      </c>
      <c r="G295" s="3">
        <v>452</v>
      </c>
      <c r="H295" s="3">
        <v>305</v>
      </c>
      <c r="I295" s="3">
        <v>54541</v>
      </c>
      <c r="J295" s="3">
        <v>63700</v>
      </c>
      <c r="K295" s="3">
        <v>296</v>
      </c>
      <c r="L295" s="1" t="s">
        <v>20</v>
      </c>
      <c r="M295" s="1" t="s">
        <v>358</v>
      </c>
      <c r="N295" s="1" t="s">
        <v>17</v>
      </c>
      <c r="O295">
        <f t="shared" si="4"/>
        <v>25</v>
      </c>
      <c r="P295" s="20">
        <f>(Table5[[#This Row],[Likes]]+Table5[[#This Row],[Shares]]+Table5[[#This Row],[Comments]])/Table5[[#This Row],[Impressions]]</f>
        <v>4.0153279184466734E-2</v>
      </c>
      <c r="Q295" s="27">
        <f>Table5[[#This Row],[Likes]]+Table5[[#This Row],[Shares]]+Table5[[#This Row],[Comments]]</f>
        <v>2190</v>
      </c>
    </row>
    <row r="296" spans="1:17" x14ac:dyDescent="0.3">
      <c r="A296" s="1" t="s">
        <v>256</v>
      </c>
      <c r="B296" s="1" t="s">
        <v>23</v>
      </c>
      <c r="C296" s="2">
        <v>45829</v>
      </c>
      <c r="D296" s="1" t="s">
        <v>15</v>
      </c>
      <c r="E296" s="1" t="s">
        <v>19</v>
      </c>
      <c r="F296" s="3">
        <v>3611</v>
      </c>
      <c r="G296" s="3">
        <v>127</v>
      </c>
      <c r="H296" s="3">
        <v>139</v>
      </c>
      <c r="I296" s="3">
        <v>44768</v>
      </c>
      <c r="J296" s="3">
        <v>29435</v>
      </c>
      <c r="K296" s="3">
        <v>178</v>
      </c>
      <c r="L296" s="1" t="s">
        <v>37</v>
      </c>
      <c r="M296" s="1" t="s">
        <v>361</v>
      </c>
      <c r="N296" s="1" t="s">
        <v>17</v>
      </c>
      <c r="O296">
        <f t="shared" si="4"/>
        <v>25</v>
      </c>
      <c r="P296" s="20">
        <f>(Table5[[#This Row],[Likes]]+Table5[[#This Row],[Shares]]+Table5[[#This Row],[Comments]])/Table5[[#This Row],[Impressions]]</f>
        <v>8.6602037169406718E-2</v>
      </c>
      <c r="Q296" s="27">
        <f>Table5[[#This Row],[Likes]]+Table5[[#This Row],[Shares]]+Table5[[#This Row],[Comments]]</f>
        <v>3877</v>
      </c>
    </row>
    <row r="297" spans="1:17" x14ac:dyDescent="0.3">
      <c r="A297" s="1" t="s">
        <v>247</v>
      </c>
      <c r="B297" s="1" t="s">
        <v>14</v>
      </c>
      <c r="C297" s="2">
        <v>45832</v>
      </c>
      <c r="D297" s="1" t="s">
        <v>24</v>
      </c>
      <c r="E297" s="1" t="s">
        <v>34</v>
      </c>
      <c r="F297" s="3">
        <v>4902</v>
      </c>
      <c r="G297" s="3">
        <v>422</v>
      </c>
      <c r="H297" s="3">
        <v>376</v>
      </c>
      <c r="I297" s="3">
        <v>31674</v>
      </c>
      <c r="J297" s="3">
        <v>53225</v>
      </c>
      <c r="K297" s="3">
        <v>147</v>
      </c>
      <c r="L297" s="1" t="s">
        <v>37</v>
      </c>
      <c r="M297" s="1" t="s">
        <v>361</v>
      </c>
      <c r="N297" s="1" t="s">
        <v>49</v>
      </c>
      <c r="O297">
        <f t="shared" si="4"/>
        <v>26</v>
      </c>
      <c r="P297" s="20">
        <f>(Table5[[#This Row],[Likes]]+Table5[[#This Row],[Shares]]+Table5[[#This Row],[Comments]])/Table5[[#This Row],[Impressions]]</f>
        <v>0.17995832544042431</v>
      </c>
      <c r="Q297" s="27">
        <f>Table5[[#This Row],[Likes]]+Table5[[#This Row],[Shares]]+Table5[[#This Row],[Comments]]</f>
        <v>5700</v>
      </c>
    </row>
    <row r="298" spans="1:17" x14ac:dyDescent="0.3">
      <c r="A298" s="1" t="s">
        <v>198</v>
      </c>
      <c r="B298" s="1" t="s">
        <v>14</v>
      </c>
      <c r="C298" s="2">
        <v>45835</v>
      </c>
      <c r="D298" s="1" t="s">
        <v>24</v>
      </c>
      <c r="E298" s="1" t="s">
        <v>32</v>
      </c>
      <c r="F298" s="3">
        <v>1342</v>
      </c>
      <c r="G298" s="3">
        <v>332</v>
      </c>
      <c r="H298" s="3">
        <v>163</v>
      </c>
      <c r="I298" s="3">
        <v>51712</v>
      </c>
      <c r="J298" s="3">
        <v>57922</v>
      </c>
      <c r="K298" s="3">
        <v>168</v>
      </c>
      <c r="L298" s="1" t="s">
        <v>37</v>
      </c>
      <c r="M298" s="1" t="s">
        <v>361</v>
      </c>
      <c r="N298" s="1" t="s">
        <v>49</v>
      </c>
      <c r="O298">
        <f t="shared" si="4"/>
        <v>26</v>
      </c>
      <c r="P298" s="20">
        <f>(Table5[[#This Row],[Likes]]+Table5[[#This Row],[Shares]]+Table5[[#This Row],[Comments]])/Table5[[#This Row],[Impressions]]</f>
        <v>3.5523669554455448E-2</v>
      </c>
      <c r="Q298" s="27">
        <f>Table5[[#This Row],[Likes]]+Table5[[#This Row],[Shares]]+Table5[[#This Row],[Comments]]</f>
        <v>1837</v>
      </c>
    </row>
    <row r="299" spans="1:17" x14ac:dyDescent="0.3">
      <c r="A299" s="1" t="s">
        <v>332</v>
      </c>
      <c r="B299" s="1" t="s">
        <v>23</v>
      </c>
      <c r="C299" s="2">
        <v>45838</v>
      </c>
      <c r="D299" s="1" t="s">
        <v>15</v>
      </c>
      <c r="E299" s="1" t="s">
        <v>32</v>
      </c>
      <c r="F299" s="3">
        <v>2275</v>
      </c>
      <c r="G299" s="3">
        <v>285</v>
      </c>
      <c r="H299" s="3">
        <v>125</v>
      </c>
      <c r="I299" s="3">
        <v>43970</v>
      </c>
      <c r="J299" s="3">
        <v>74761</v>
      </c>
      <c r="K299" s="3">
        <v>83</v>
      </c>
      <c r="L299" s="1" t="s">
        <v>37</v>
      </c>
      <c r="M299" s="1" t="s">
        <v>361</v>
      </c>
      <c r="N299" s="1" t="s">
        <v>17</v>
      </c>
      <c r="O299">
        <f t="shared" si="4"/>
        <v>27</v>
      </c>
      <c r="P299" s="20">
        <f>(Table5[[#This Row],[Likes]]+Table5[[#This Row],[Shares]]+Table5[[#This Row],[Comments]])/Table5[[#This Row],[Impressions]]</f>
        <v>6.1064362065044349E-2</v>
      </c>
      <c r="Q299" s="27">
        <f>Table5[[#This Row],[Likes]]+Table5[[#This Row],[Shares]]+Table5[[#This Row],[Comments]]</f>
        <v>2685</v>
      </c>
    </row>
    <row r="300" spans="1:17" x14ac:dyDescent="0.3">
      <c r="A300" s="1" t="s">
        <v>163</v>
      </c>
      <c r="B300" s="1" t="s">
        <v>23</v>
      </c>
      <c r="C300" s="2">
        <v>45839</v>
      </c>
      <c r="D300" s="1" t="s">
        <v>24</v>
      </c>
      <c r="E300" s="1" t="s">
        <v>19</v>
      </c>
      <c r="F300" s="3">
        <v>3219</v>
      </c>
      <c r="G300" s="3">
        <v>424</v>
      </c>
      <c r="H300" s="3">
        <v>267</v>
      </c>
      <c r="I300" s="3">
        <v>48879</v>
      </c>
      <c r="J300" s="3">
        <v>37691</v>
      </c>
      <c r="K300" s="3">
        <v>224</v>
      </c>
      <c r="L300" s="1" t="s">
        <v>20</v>
      </c>
      <c r="M300" s="1" t="s">
        <v>358</v>
      </c>
      <c r="N300" s="1" t="s">
        <v>17</v>
      </c>
      <c r="O300">
        <f t="shared" si="4"/>
        <v>27</v>
      </c>
      <c r="P300" s="20">
        <f>(Table5[[#This Row],[Likes]]+Table5[[#This Row],[Shares]]+Table5[[#This Row],[Comments]])/Table5[[#This Row],[Impressions]]</f>
        <v>7.9993453221219743E-2</v>
      </c>
      <c r="Q300" s="27">
        <f>Table5[[#This Row],[Likes]]+Table5[[#This Row],[Shares]]+Table5[[#This Row],[Comments]]</f>
        <v>3910</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1"/>
  <sheetViews>
    <sheetView workbookViewId="0">
      <selection activeCell="H1" sqref="H1:H1048576"/>
    </sheetView>
  </sheetViews>
  <sheetFormatPr defaultRowHeight="14.4" x14ac:dyDescent="0.3"/>
  <cols>
    <col min="1" max="1" width="17.5546875" style="9" customWidth="1"/>
    <col min="2" max="2" width="10.21875" style="8" customWidth="1"/>
    <col min="3" max="3" width="15.5546875" style="14" customWidth="1"/>
    <col min="4" max="4" width="11.33203125" style="14" customWidth="1"/>
    <col min="5" max="5" width="16" style="14" customWidth="1"/>
    <col min="6" max="6" width="18.21875" style="30" customWidth="1"/>
    <col min="7" max="7" width="11.5546875" style="10" customWidth="1"/>
    <col min="8" max="8" width="7.6640625" bestFit="1" customWidth="1"/>
    <col min="9" max="9" width="14.21875" style="18" bestFit="1" customWidth="1"/>
    <col min="10" max="10" width="11" style="14" bestFit="1" customWidth="1"/>
  </cols>
  <sheetData>
    <row r="1" spans="1:12" x14ac:dyDescent="0.3">
      <c r="A1" s="11" t="s">
        <v>335</v>
      </c>
      <c r="B1" s="16" t="s">
        <v>1</v>
      </c>
      <c r="C1" s="13" t="s">
        <v>336</v>
      </c>
      <c r="D1" s="13" t="s">
        <v>337</v>
      </c>
      <c r="E1" s="13" t="s">
        <v>338</v>
      </c>
      <c r="F1" s="29" t="s">
        <v>339</v>
      </c>
      <c r="G1" s="15" t="s">
        <v>340</v>
      </c>
      <c r="H1" s="13" t="s">
        <v>369</v>
      </c>
      <c r="I1" s="17" t="s">
        <v>372</v>
      </c>
      <c r="J1" s="32" t="s">
        <v>422</v>
      </c>
    </row>
    <row r="2" spans="1:12" x14ac:dyDescent="0.3">
      <c r="A2" s="9">
        <v>45446</v>
      </c>
      <c r="B2" s="8" t="s">
        <v>14</v>
      </c>
      <c r="C2" s="14">
        <v>1402</v>
      </c>
      <c r="D2" s="14">
        <v>68</v>
      </c>
      <c r="E2" s="14">
        <v>124562</v>
      </c>
      <c r="F2" s="30">
        <v>9.92</v>
      </c>
      <c r="G2" s="10">
        <v>23125</v>
      </c>
      <c r="H2">
        <f>WEEKNUM(A2)</f>
        <v>23</v>
      </c>
      <c r="I2" s="18">
        <f>(Table4[[#This Row],[New_Followers]]-Table4[[#This Row],[Unfollows]])/Table4[[#This Row],[Total_Followers]]</f>
        <v>1.0709526179733787E-2</v>
      </c>
      <c r="J2" s="14">
        <f>Table4[[#This Row],[New_Followers]]-Table4[[#This Row],[Unfollows]]</f>
        <v>1334</v>
      </c>
      <c r="L2" t="s">
        <v>446</v>
      </c>
    </row>
    <row r="3" spans="1:12" x14ac:dyDescent="0.3">
      <c r="A3" s="9">
        <v>45446</v>
      </c>
      <c r="B3" s="8" t="s">
        <v>23</v>
      </c>
      <c r="C3" s="14">
        <v>995</v>
      </c>
      <c r="D3" s="14">
        <v>86</v>
      </c>
      <c r="E3" s="14">
        <v>227958</v>
      </c>
      <c r="F3" s="30">
        <v>8.0500000000000007</v>
      </c>
      <c r="G3" s="10">
        <v>22788</v>
      </c>
      <c r="H3">
        <f t="shared" ref="H3:H66" si="0">WEEKNUM(A3)</f>
        <v>23</v>
      </c>
      <c r="I3" s="18">
        <f>(Table4[[#This Row],[New_Followers]]-Table4[[#This Row],[Unfollows]])/Table4[[#This Row],[Total_Followers]]</f>
        <v>3.9875766588582107E-3</v>
      </c>
      <c r="J3" s="14">
        <f>Table4[[#This Row],[New_Followers]]-Table4[[#This Row],[Unfollows]]</f>
        <v>909</v>
      </c>
    </row>
    <row r="4" spans="1:12" x14ac:dyDescent="0.3">
      <c r="A4" s="9">
        <v>45446</v>
      </c>
      <c r="B4" s="8" t="s">
        <v>29</v>
      </c>
      <c r="C4" s="14">
        <v>1472</v>
      </c>
      <c r="D4" s="14">
        <v>296</v>
      </c>
      <c r="E4" s="14">
        <v>370242</v>
      </c>
      <c r="F4" s="30">
        <v>7.72</v>
      </c>
      <c r="G4" s="10">
        <v>7810</v>
      </c>
      <c r="H4">
        <f t="shared" si="0"/>
        <v>23</v>
      </c>
      <c r="I4" s="18">
        <f>(Table4[[#This Row],[New_Followers]]-Table4[[#This Row],[Unfollows]])/Table4[[#This Row],[Total_Followers]]</f>
        <v>3.176300905893983E-3</v>
      </c>
      <c r="J4" s="14">
        <f>Table4[[#This Row],[New_Followers]]-Table4[[#This Row],[Unfollows]]</f>
        <v>1176</v>
      </c>
      <c r="L4" t="s">
        <v>447</v>
      </c>
    </row>
    <row r="5" spans="1:12" x14ac:dyDescent="0.3">
      <c r="A5" s="9">
        <v>45453</v>
      </c>
      <c r="B5" s="8" t="s">
        <v>14</v>
      </c>
      <c r="C5" s="14">
        <v>1018</v>
      </c>
      <c r="D5" s="14">
        <v>90</v>
      </c>
      <c r="E5" s="14">
        <v>92474</v>
      </c>
      <c r="F5" s="30">
        <v>9.4</v>
      </c>
      <c r="G5" s="10">
        <v>11966</v>
      </c>
      <c r="H5">
        <f t="shared" si="0"/>
        <v>24</v>
      </c>
      <c r="I5" s="18">
        <f>(Table4[[#This Row],[New_Followers]]-Table4[[#This Row],[Unfollows]])/Table4[[#This Row],[Total_Followers]]</f>
        <v>1.0035253152237385E-2</v>
      </c>
      <c r="J5" s="14">
        <f>Table4[[#This Row],[New_Followers]]-Table4[[#This Row],[Unfollows]]</f>
        <v>928</v>
      </c>
      <c r="L5" t="s">
        <v>448</v>
      </c>
    </row>
    <row r="6" spans="1:12" x14ac:dyDescent="0.3">
      <c r="A6" s="9">
        <v>45453</v>
      </c>
      <c r="B6" s="8" t="s">
        <v>23</v>
      </c>
      <c r="C6" s="14">
        <v>1461</v>
      </c>
      <c r="D6" s="14">
        <v>64</v>
      </c>
      <c r="E6" s="14">
        <v>328902</v>
      </c>
      <c r="F6" s="30">
        <v>9.02</v>
      </c>
      <c r="G6" s="10">
        <v>26298</v>
      </c>
      <c r="H6">
        <f t="shared" si="0"/>
        <v>24</v>
      </c>
      <c r="I6" s="18">
        <f>(Table4[[#This Row],[New_Followers]]-Table4[[#This Row],[Unfollows]])/Table4[[#This Row],[Total_Followers]]</f>
        <v>4.247465810484582E-3</v>
      </c>
      <c r="J6" s="14">
        <f>Table4[[#This Row],[New_Followers]]-Table4[[#This Row],[Unfollows]]</f>
        <v>1397</v>
      </c>
      <c r="L6" t="s">
        <v>449</v>
      </c>
    </row>
    <row r="7" spans="1:12" x14ac:dyDescent="0.3">
      <c r="A7" s="9">
        <v>45453</v>
      </c>
      <c r="B7" s="8" t="s">
        <v>29</v>
      </c>
      <c r="C7" s="14">
        <v>545</v>
      </c>
      <c r="D7" s="14">
        <v>93</v>
      </c>
      <c r="E7" s="14">
        <v>391621</v>
      </c>
      <c r="F7" s="30">
        <v>9.9600000000000009</v>
      </c>
      <c r="G7" s="10">
        <v>22029</v>
      </c>
      <c r="H7">
        <f t="shared" si="0"/>
        <v>24</v>
      </c>
      <c r="I7" s="18">
        <f>(Table4[[#This Row],[New_Followers]]-Table4[[#This Row],[Unfollows]])/Table4[[#This Row],[Total_Followers]]</f>
        <v>1.1541771253329111E-3</v>
      </c>
      <c r="J7" s="14">
        <f>Table4[[#This Row],[New_Followers]]-Table4[[#This Row],[Unfollows]]</f>
        <v>452</v>
      </c>
    </row>
    <row r="8" spans="1:12" x14ac:dyDescent="0.3">
      <c r="A8" s="9">
        <v>45460</v>
      </c>
      <c r="B8" s="8" t="s">
        <v>14</v>
      </c>
      <c r="C8" s="14">
        <v>881</v>
      </c>
      <c r="D8" s="14">
        <v>291</v>
      </c>
      <c r="E8" s="14">
        <v>95885</v>
      </c>
      <c r="F8" s="30">
        <v>5.29</v>
      </c>
      <c r="G8" s="10">
        <v>12391</v>
      </c>
      <c r="H8">
        <f t="shared" si="0"/>
        <v>25</v>
      </c>
      <c r="I8" s="18">
        <f>(Table4[[#This Row],[New_Followers]]-Table4[[#This Row],[Unfollows]])/Table4[[#This Row],[Total_Followers]]</f>
        <v>6.1532043593888509E-3</v>
      </c>
      <c r="J8" s="14">
        <f>Table4[[#This Row],[New_Followers]]-Table4[[#This Row],[Unfollows]]</f>
        <v>590</v>
      </c>
    </row>
    <row r="9" spans="1:12" x14ac:dyDescent="0.3">
      <c r="A9" s="9">
        <v>45460</v>
      </c>
      <c r="B9" s="8" t="s">
        <v>23</v>
      </c>
      <c r="C9" s="14">
        <v>1414</v>
      </c>
      <c r="D9" s="14">
        <v>131</v>
      </c>
      <c r="E9" s="14">
        <v>245947</v>
      </c>
      <c r="F9" s="30">
        <v>8.3000000000000007</v>
      </c>
      <c r="G9" s="10">
        <v>14477</v>
      </c>
      <c r="H9">
        <f t="shared" si="0"/>
        <v>25</v>
      </c>
      <c r="I9" s="18">
        <f>(Table4[[#This Row],[New_Followers]]-Table4[[#This Row],[Unfollows]])/Table4[[#This Row],[Total_Followers]]</f>
        <v>5.2165710498603361E-3</v>
      </c>
      <c r="J9" s="14">
        <f>Table4[[#This Row],[New_Followers]]-Table4[[#This Row],[Unfollows]]</f>
        <v>1283</v>
      </c>
    </row>
    <row r="10" spans="1:12" x14ac:dyDescent="0.3">
      <c r="A10" s="9">
        <v>45460</v>
      </c>
      <c r="B10" s="8" t="s">
        <v>29</v>
      </c>
      <c r="C10" s="14">
        <v>1472</v>
      </c>
      <c r="D10" s="14">
        <v>170</v>
      </c>
      <c r="E10" s="14">
        <v>250428</v>
      </c>
      <c r="F10" s="30">
        <v>4.66</v>
      </c>
      <c r="G10" s="10">
        <v>25040</v>
      </c>
      <c r="H10">
        <f t="shared" si="0"/>
        <v>25</v>
      </c>
      <c r="I10" s="18">
        <f>(Table4[[#This Row],[New_Followers]]-Table4[[#This Row],[Unfollows]])/Table4[[#This Row],[Total_Followers]]</f>
        <v>5.1990991422684362E-3</v>
      </c>
      <c r="J10" s="14">
        <f>Table4[[#This Row],[New_Followers]]-Table4[[#This Row],[Unfollows]]</f>
        <v>1302</v>
      </c>
    </row>
    <row r="11" spans="1:12" x14ac:dyDescent="0.3">
      <c r="A11" s="9">
        <v>45467</v>
      </c>
      <c r="B11" s="8" t="s">
        <v>14</v>
      </c>
      <c r="C11" s="14">
        <v>809</v>
      </c>
      <c r="D11" s="14">
        <v>197</v>
      </c>
      <c r="E11" s="14">
        <v>87186</v>
      </c>
      <c r="F11" s="30">
        <v>9.48</v>
      </c>
      <c r="G11" s="10">
        <v>22619</v>
      </c>
      <c r="H11">
        <f t="shared" si="0"/>
        <v>26</v>
      </c>
      <c r="I11" s="18">
        <f>(Table4[[#This Row],[New_Followers]]-Table4[[#This Row],[Unfollows]])/Table4[[#This Row],[Total_Followers]]</f>
        <v>7.0194756038813571E-3</v>
      </c>
      <c r="J11" s="14">
        <f>Table4[[#This Row],[New_Followers]]-Table4[[#This Row],[Unfollows]]</f>
        <v>612</v>
      </c>
    </row>
    <row r="12" spans="1:12" x14ac:dyDescent="0.3">
      <c r="A12" s="9">
        <v>45467</v>
      </c>
      <c r="B12" s="8" t="s">
        <v>23</v>
      </c>
      <c r="C12" s="14">
        <v>1371</v>
      </c>
      <c r="D12" s="14">
        <v>250</v>
      </c>
      <c r="E12" s="14">
        <v>128620</v>
      </c>
      <c r="F12" s="30">
        <v>7.11</v>
      </c>
      <c r="G12" s="10">
        <v>12399</v>
      </c>
      <c r="H12">
        <f t="shared" si="0"/>
        <v>26</v>
      </c>
      <c r="I12" s="18">
        <f>(Table4[[#This Row],[New_Followers]]-Table4[[#This Row],[Unfollows]])/Table4[[#This Row],[Total_Followers]]</f>
        <v>8.7155963302752298E-3</v>
      </c>
      <c r="J12" s="14">
        <f>Table4[[#This Row],[New_Followers]]-Table4[[#This Row],[Unfollows]]</f>
        <v>1121</v>
      </c>
    </row>
    <row r="13" spans="1:12" x14ac:dyDescent="0.3">
      <c r="A13" s="9">
        <v>45467</v>
      </c>
      <c r="B13" s="8" t="s">
        <v>29</v>
      </c>
      <c r="C13" s="14">
        <v>844</v>
      </c>
      <c r="D13" s="14">
        <v>144</v>
      </c>
      <c r="E13" s="14">
        <v>126015</v>
      </c>
      <c r="F13" s="30">
        <v>9.65</v>
      </c>
      <c r="G13" s="10">
        <v>22456</v>
      </c>
      <c r="H13">
        <f t="shared" si="0"/>
        <v>26</v>
      </c>
      <c r="I13" s="18">
        <f>(Table4[[#This Row],[New_Followers]]-Table4[[#This Row],[Unfollows]])/Table4[[#This Row],[Total_Followers]]</f>
        <v>5.5548942586200059E-3</v>
      </c>
      <c r="J13" s="14">
        <f>Table4[[#This Row],[New_Followers]]-Table4[[#This Row],[Unfollows]]</f>
        <v>700</v>
      </c>
    </row>
    <row r="14" spans="1:12" x14ac:dyDescent="0.3">
      <c r="A14" s="9">
        <v>45474</v>
      </c>
      <c r="B14" s="8" t="s">
        <v>14</v>
      </c>
      <c r="C14" s="14">
        <v>786</v>
      </c>
      <c r="D14" s="14">
        <v>72</v>
      </c>
      <c r="E14" s="14">
        <v>178615</v>
      </c>
      <c r="F14" s="30">
        <v>5.43</v>
      </c>
      <c r="G14" s="10">
        <v>19328</v>
      </c>
      <c r="H14">
        <f t="shared" si="0"/>
        <v>27</v>
      </c>
      <c r="I14" s="18">
        <f>(Table4[[#This Row],[New_Followers]]-Table4[[#This Row],[Unfollows]])/Table4[[#This Row],[Total_Followers]]</f>
        <v>3.9974246283906723E-3</v>
      </c>
      <c r="J14" s="14">
        <f>Table4[[#This Row],[New_Followers]]-Table4[[#This Row],[Unfollows]]</f>
        <v>714</v>
      </c>
    </row>
    <row r="15" spans="1:12" x14ac:dyDescent="0.3">
      <c r="A15" s="9">
        <v>45474</v>
      </c>
      <c r="B15" s="8" t="s">
        <v>23</v>
      </c>
      <c r="C15" s="14">
        <v>845</v>
      </c>
      <c r="D15" s="14">
        <v>250</v>
      </c>
      <c r="E15" s="14">
        <v>218228</v>
      </c>
      <c r="F15" s="30">
        <v>4.5199999999999996</v>
      </c>
      <c r="G15" s="10">
        <v>21107</v>
      </c>
      <c r="H15">
        <f t="shared" si="0"/>
        <v>27</v>
      </c>
      <c r="I15" s="18">
        <f>(Table4[[#This Row],[New_Followers]]-Table4[[#This Row],[Unfollows]])/Table4[[#This Row],[Total_Followers]]</f>
        <v>2.7265062228494967E-3</v>
      </c>
      <c r="J15" s="14">
        <f>Table4[[#This Row],[New_Followers]]-Table4[[#This Row],[Unfollows]]</f>
        <v>595</v>
      </c>
    </row>
    <row r="16" spans="1:12" x14ac:dyDescent="0.3">
      <c r="A16" s="9">
        <v>45474</v>
      </c>
      <c r="B16" s="8" t="s">
        <v>29</v>
      </c>
      <c r="C16" s="14">
        <v>1218</v>
      </c>
      <c r="D16" s="14">
        <v>101</v>
      </c>
      <c r="E16" s="14">
        <v>300397</v>
      </c>
      <c r="F16" s="30">
        <v>4.33</v>
      </c>
      <c r="G16" s="10">
        <v>12277</v>
      </c>
      <c r="H16">
        <f t="shared" si="0"/>
        <v>27</v>
      </c>
      <c r="I16" s="18">
        <f>(Table4[[#This Row],[New_Followers]]-Table4[[#This Row],[Unfollows]])/Table4[[#This Row],[Total_Followers]]</f>
        <v>3.7184126339477423E-3</v>
      </c>
      <c r="J16" s="14">
        <f>Table4[[#This Row],[New_Followers]]-Table4[[#This Row],[Unfollows]]</f>
        <v>1117</v>
      </c>
    </row>
    <row r="17" spans="1:10" x14ac:dyDescent="0.3">
      <c r="A17" s="9">
        <v>45481</v>
      </c>
      <c r="B17" s="8" t="s">
        <v>14</v>
      </c>
      <c r="C17" s="14">
        <v>797</v>
      </c>
      <c r="D17" s="14">
        <v>130</v>
      </c>
      <c r="E17" s="14">
        <v>340121</v>
      </c>
      <c r="F17" s="30">
        <v>8.52</v>
      </c>
      <c r="G17" s="10">
        <v>11684</v>
      </c>
      <c r="H17">
        <f t="shared" si="0"/>
        <v>28</v>
      </c>
      <c r="I17" s="18">
        <f>(Table4[[#This Row],[New_Followers]]-Table4[[#This Row],[Unfollows]])/Table4[[#This Row],[Total_Followers]]</f>
        <v>1.9610667968164271E-3</v>
      </c>
      <c r="J17" s="14">
        <f>Table4[[#This Row],[New_Followers]]-Table4[[#This Row],[Unfollows]]</f>
        <v>667</v>
      </c>
    </row>
    <row r="18" spans="1:10" x14ac:dyDescent="0.3">
      <c r="A18" s="9">
        <v>45481</v>
      </c>
      <c r="B18" s="8" t="s">
        <v>23</v>
      </c>
      <c r="C18" s="14">
        <v>1471</v>
      </c>
      <c r="D18" s="14">
        <v>100</v>
      </c>
      <c r="E18" s="14">
        <v>76866</v>
      </c>
      <c r="F18" s="30">
        <v>8.5500000000000007</v>
      </c>
      <c r="G18" s="10">
        <v>14412</v>
      </c>
      <c r="H18">
        <f t="shared" si="0"/>
        <v>28</v>
      </c>
      <c r="I18" s="18">
        <f>(Table4[[#This Row],[New_Followers]]-Table4[[#This Row],[Unfollows]])/Table4[[#This Row],[Total_Followers]]</f>
        <v>1.7836234485988603E-2</v>
      </c>
      <c r="J18" s="14">
        <f>Table4[[#This Row],[New_Followers]]-Table4[[#This Row],[Unfollows]]</f>
        <v>1371</v>
      </c>
    </row>
    <row r="19" spans="1:10" x14ac:dyDescent="0.3">
      <c r="A19" s="9">
        <v>45481</v>
      </c>
      <c r="B19" s="8" t="s">
        <v>29</v>
      </c>
      <c r="C19" s="14">
        <v>1253</v>
      </c>
      <c r="D19" s="14">
        <v>136</v>
      </c>
      <c r="E19" s="14">
        <v>193131</v>
      </c>
      <c r="F19" s="30">
        <v>7.99</v>
      </c>
      <c r="G19" s="10">
        <v>15924</v>
      </c>
      <c r="H19">
        <f t="shared" si="0"/>
        <v>28</v>
      </c>
      <c r="I19" s="18">
        <f>(Table4[[#This Row],[New_Followers]]-Table4[[#This Row],[Unfollows]])/Table4[[#This Row],[Total_Followers]]</f>
        <v>5.7836390843520723E-3</v>
      </c>
      <c r="J19" s="14">
        <f>Table4[[#This Row],[New_Followers]]-Table4[[#This Row],[Unfollows]]</f>
        <v>1117</v>
      </c>
    </row>
    <row r="20" spans="1:10" x14ac:dyDescent="0.3">
      <c r="A20" s="9">
        <v>45488</v>
      </c>
      <c r="B20" s="8" t="s">
        <v>14</v>
      </c>
      <c r="C20" s="14">
        <v>616</v>
      </c>
      <c r="D20" s="14">
        <v>257</v>
      </c>
      <c r="E20" s="14">
        <v>169665</v>
      </c>
      <c r="F20" s="30">
        <v>6.31</v>
      </c>
      <c r="G20" s="10">
        <v>12390</v>
      </c>
      <c r="H20">
        <f t="shared" si="0"/>
        <v>29</v>
      </c>
      <c r="I20" s="18">
        <f>(Table4[[#This Row],[New_Followers]]-Table4[[#This Row],[Unfollows]])/Table4[[#This Row],[Total_Followers]]</f>
        <v>2.1159343412017798E-3</v>
      </c>
      <c r="J20" s="14">
        <f>Table4[[#This Row],[New_Followers]]-Table4[[#This Row],[Unfollows]]</f>
        <v>359</v>
      </c>
    </row>
    <row r="21" spans="1:10" x14ac:dyDescent="0.3">
      <c r="A21" s="9">
        <v>45488</v>
      </c>
      <c r="B21" s="8" t="s">
        <v>23</v>
      </c>
      <c r="C21" s="14">
        <v>1308</v>
      </c>
      <c r="D21" s="14">
        <v>210</v>
      </c>
      <c r="E21" s="14">
        <v>263729</v>
      </c>
      <c r="F21" s="30">
        <v>8.5299999999999994</v>
      </c>
      <c r="G21" s="10">
        <v>25742</v>
      </c>
      <c r="H21">
        <f t="shared" si="0"/>
        <v>29</v>
      </c>
      <c r="I21" s="18">
        <f>(Table4[[#This Row],[New_Followers]]-Table4[[#This Row],[Unfollows]])/Table4[[#This Row],[Total_Followers]]</f>
        <v>4.1633646660018432E-3</v>
      </c>
      <c r="J21" s="14">
        <f>Table4[[#This Row],[New_Followers]]-Table4[[#This Row],[Unfollows]]</f>
        <v>1098</v>
      </c>
    </row>
    <row r="22" spans="1:10" x14ac:dyDescent="0.3">
      <c r="A22" s="9">
        <v>45488</v>
      </c>
      <c r="B22" s="8" t="s">
        <v>29</v>
      </c>
      <c r="C22" s="14">
        <v>981</v>
      </c>
      <c r="D22" s="14">
        <v>69</v>
      </c>
      <c r="E22" s="14">
        <v>206921</v>
      </c>
      <c r="F22" s="30">
        <v>8.42</v>
      </c>
      <c r="G22" s="10">
        <v>10495</v>
      </c>
      <c r="H22">
        <f t="shared" si="0"/>
        <v>29</v>
      </c>
      <c r="I22" s="18">
        <f>(Table4[[#This Row],[New_Followers]]-Table4[[#This Row],[Unfollows]])/Table4[[#This Row],[Total_Followers]]</f>
        <v>4.4074791828765565E-3</v>
      </c>
      <c r="J22" s="14">
        <f>Table4[[#This Row],[New_Followers]]-Table4[[#This Row],[Unfollows]]</f>
        <v>912</v>
      </c>
    </row>
    <row r="23" spans="1:10" x14ac:dyDescent="0.3">
      <c r="A23" s="9">
        <v>45495</v>
      </c>
      <c r="B23" s="8" t="s">
        <v>14</v>
      </c>
      <c r="C23" s="14">
        <v>866</v>
      </c>
      <c r="D23" s="14">
        <v>74</v>
      </c>
      <c r="E23" s="14">
        <v>204121</v>
      </c>
      <c r="F23" s="30">
        <v>9.34</v>
      </c>
      <c r="G23" s="10">
        <v>7797</v>
      </c>
      <c r="H23">
        <f t="shared" si="0"/>
        <v>30</v>
      </c>
      <c r="I23" s="18">
        <f>(Table4[[#This Row],[New_Followers]]-Table4[[#This Row],[Unfollows]])/Table4[[#This Row],[Total_Followers]]</f>
        <v>3.8800515380583087E-3</v>
      </c>
      <c r="J23" s="14">
        <f>Table4[[#This Row],[New_Followers]]-Table4[[#This Row],[Unfollows]]</f>
        <v>792</v>
      </c>
    </row>
    <row r="24" spans="1:10" x14ac:dyDescent="0.3">
      <c r="A24" s="9">
        <v>45495</v>
      </c>
      <c r="B24" s="8" t="s">
        <v>23</v>
      </c>
      <c r="C24" s="14">
        <v>547</v>
      </c>
      <c r="D24" s="14">
        <v>183</v>
      </c>
      <c r="E24" s="14">
        <v>266350</v>
      </c>
      <c r="F24" s="30">
        <v>5.65</v>
      </c>
      <c r="G24" s="10">
        <v>15595</v>
      </c>
      <c r="H24">
        <f t="shared" si="0"/>
        <v>30</v>
      </c>
      <c r="I24" s="18">
        <f>(Table4[[#This Row],[New_Followers]]-Table4[[#This Row],[Unfollows]])/Table4[[#This Row],[Total_Followers]]</f>
        <v>1.3666228646517741E-3</v>
      </c>
      <c r="J24" s="14">
        <f>Table4[[#This Row],[New_Followers]]-Table4[[#This Row],[Unfollows]]</f>
        <v>364</v>
      </c>
    </row>
    <row r="25" spans="1:10" x14ac:dyDescent="0.3">
      <c r="A25" s="9">
        <v>45495</v>
      </c>
      <c r="B25" s="8" t="s">
        <v>29</v>
      </c>
      <c r="C25" s="14">
        <v>1241</v>
      </c>
      <c r="D25" s="14">
        <v>116</v>
      </c>
      <c r="E25" s="14">
        <v>380606</v>
      </c>
      <c r="F25" s="30">
        <v>4.2</v>
      </c>
      <c r="G25" s="10">
        <v>24617</v>
      </c>
      <c r="H25">
        <f t="shared" si="0"/>
        <v>30</v>
      </c>
      <c r="I25" s="18">
        <f>(Table4[[#This Row],[New_Followers]]-Table4[[#This Row],[Unfollows]])/Table4[[#This Row],[Total_Followers]]</f>
        <v>2.9558125725816196E-3</v>
      </c>
      <c r="J25" s="14">
        <f>Table4[[#This Row],[New_Followers]]-Table4[[#This Row],[Unfollows]]</f>
        <v>1125</v>
      </c>
    </row>
    <row r="26" spans="1:10" x14ac:dyDescent="0.3">
      <c r="A26" s="9">
        <v>45502</v>
      </c>
      <c r="B26" s="8" t="s">
        <v>14</v>
      </c>
      <c r="C26" s="14">
        <v>973</v>
      </c>
      <c r="D26" s="14">
        <v>104</v>
      </c>
      <c r="E26" s="14">
        <v>376358</v>
      </c>
      <c r="F26" s="30">
        <v>3.87</v>
      </c>
      <c r="G26" s="10">
        <v>9847</v>
      </c>
      <c r="H26">
        <f t="shared" si="0"/>
        <v>31</v>
      </c>
      <c r="I26" s="18">
        <f>(Table4[[#This Row],[New_Followers]]-Table4[[#This Row],[Unfollows]])/Table4[[#This Row],[Total_Followers]]</f>
        <v>2.3089717768720206E-3</v>
      </c>
      <c r="J26" s="14">
        <f>Table4[[#This Row],[New_Followers]]-Table4[[#This Row],[Unfollows]]</f>
        <v>869</v>
      </c>
    </row>
    <row r="27" spans="1:10" x14ac:dyDescent="0.3">
      <c r="A27" s="9">
        <v>45502</v>
      </c>
      <c r="B27" s="8" t="s">
        <v>23</v>
      </c>
      <c r="C27" s="14">
        <v>611</v>
      </c>
      <c r="D27" s="14">
        <v>197</v>
      </c>
      <c r="E27" s="14">
        <v>79423</v>
      </c>
      <c r="F27" s="30">
        <v>5.82</v>
      </c>
      <c r="G27" s="10">
        <v>13644</v>
      </c>
      <c r="H27">
        <f t="shared" si="0"/>
        <v>31</v>
      </c>
      <c r="I27" s="18">
        <f>(Table4[[#This Row],[New_Followers]]-Table4[[#This Row],[Unfollows]])/Table4[[#This Row],[Total_Followers]]</f>
        <v>5.2125958475504573E-3</v>
      </c>
      <c r="J27" s="14">
        <f>Table4[[#This Row],[New_Followers]]-Table4[[#This Row],[Unfollows]]</f>
        <v>414</v>
      </c>
    </row>
    <row r="28" spans="1:10" x14ac:dyDescent="0.3">
      <c r="A28" s="9">
        <v>45502</v>
      </c>
      <c r="B28" s="8" t="s">
        <v>29</v>
      </c>
      <c r="C28" s="14">
        <v>983</v>
      </c>
      <c r="D28" s="14">
        <v>134</v>
      </c>
      <c r="E28" s="14">
        <v>352178</v>
      </c>
      <c r="F28" s="30">
        <v>3.55</v>
      </c>
      <c r="G28" s="10">
        <v>11421</v>
      </c>
      <c r="H28">
        <f t="shared" si="0"/>
        <v>31</v>
      </c>
      <c r="I28" s="18">
        <f>(Table4[[#This Row],[New_Followers]]-Table4[[#This Row],[Unfollows]])/Table4[[#This Row],[Total_Followers]]</f>
        <v>2.4107127645679174E-3</v>
      </c>
      <c r="J28" s="14">
        <f>Table4[[#This Row],[New_Followers]]-Table4[[#This Row],[Unfollows]]</f>
        <v>849</v>
      </c>
    </row>
    <row r="29" spans="1:10" x14ac:dyDescent="0.3">
      <c r="A29" s="9">
        <v>45509</v>
      </c>
      <c r="B29" s="8" t="s">
        <v>14</v>
      </c>
      <c r="C29" s="14">
        <v>1449</v>
      </c>
      <c r="D29" s="14">
        <v>96</v>
      </c>
      <c r="E29" s="14">
        <v>200636</v>
      </c>
      <c r="F29" s="30">
        <v>9.92</v>
      </c>
      <c r="G29" s="10">
        <v>15613</v>
      </c>
      <c r="H29">
        <f t="shared" si="0"/>
        <v>32</v>
      </c>
      <c r="I29" s="18">
        <f>(Table4[[#This Row],[New_Followers]]-Table4[[#This Row],[Unfollows]])/Table4[[#This Row],[Total_Followers]]</f>
        <v>6.7435554935305723E-3</v>
      </c>
      <c r="J29" s="14">
        <f>Table4[[#This Row],[New_Followers]]-Table4[[#This Row],[Unfollows]]</f>
        <v>1353</v>
      </c>
    </row>
    <row r="30" spans="1:10" x14ac:dyDescent="0.3">
      <c r="A30" s="9">
        <v>45509</v>
      </c>
      <c r="B30" s="8" t="s">
        <v>23</v>
      </c>
      <c r="C30" s="14">
        <v>752</v>
      </c>
      <c r="D30" s="14">
        <v>170</v>
      </c>
      <c r="E30" s="14">
        <v>132756</v>
      </c>
      <c r="F30" s="30">
        <v>8.17</v>
      </c>
      <c r="G30" s="10">
        <v>23900</v>
      </c>
      <c r="H30">
        <f t="shared" si="0"/>
        <v>32</v>
      </c>
      <c r="I30" s="18">
        <f>(Table4[[#This Row],[New_Followers]]-Table4[[#This Row],[Unfollows]])/Table4[[#This Row],[Total_Followers]]</f>
        <v>4.3839826448522105E-3</v>
      </c>
      <c r="J30" s="14">
        <f>Table4[[#This Row],[New_Followers]]-Table4[[#This Row],[Unfollows]]</f>
        <v>582</v>
      </c>
    </row>
    <row r="31" spans="1:10" x14ac:dyDescent="0.3">
      <c r="A31" s="9">
        <v>45509</v>
      </c>
      <c r="B31" s="8" t="s">
        <v>29</v>
      </c>
      <c r="C31" s="14">
        <v>937</v>
      </c>
      <c r="D31" s="14">
        <v>179</v>
      </c>
      <c r="E31" s="14">
        <v>318098</v>
      </c>
      <c r="F31" s="30">
        <v>5.3</v>
      </c>
      <c r="G31" s="10">
        <v>5836</v>
      </c>
      <c r="H31">
        <f t="shared" si="0"/>
        <v>32</v>
      </c>
      <c r="I31" s="18">
        <f>(Table4[[#This Row],[New_Followers]]-Table4[[#This Row],[Unfollows]])/Table4[[#This Row],[Total_Followers]]</f>
        <v>2.3829134417695176E-3</v>
      </c>
      <c r="J31" s="14">
        <f>Table4[[#This Row],[New_Followers]]-Table4[[#This Row],[Unfollows]]</f>
        <v>758</v>
      </c>
    </row>
    <row r="32" spans="1:10" x14ac:dyDescent="0.3">
      <c r="A32" s="9">
        <v>45516</v>
      </c>
      <c r="B32" s="8" t="s">
        <v>14</v>
      </c>
      <c r="C32" s="14">
        <v>1060</v>
      </c>
      <c r="D32" s="14">
        <v>83</v>
      </c>
      <c r="E32" s="14">
        <v>68724</v>
      </c>
      <c r="F32" s="30">
        <v>5.98</v>
      </c>
      <c r="G32" s="10">
        <v>5624</v>
      </c>
      <c r="H32">
        <f t="shared" si="0"/>
        <v>33</v>
      </c>
      <c r="I32" s="18">
        <f>(Table4[[#This Row],[New_Followers]]-Table4[[#This Row],[Unfollows]])/Table4[[#This Row],[Total_Followers]]</f>
        <v>1.4216285431581398E-2</v>
      </c>
      <c r="J32" s="14">
        <f>Table4[[#This Row],[New_Followers]]-Table4[[#This Row],[Unfollows]]</f>
        <v>977</v>
      </c>
    </row>
    <row r="33" spans="1:10" x14ac:dyDescent="0.3">
      <c r="A33" s="9">
        <v>45516</v>
      </c>
      <c r="B33" s="8" t="s">
        <v>23</v>
      </c>
      <c r="C33" s="14">
        <v>1456</v>
      </c>
      <c r="D33" s="14">
        <v>265</v>
      </c>
      <c r="E33" s="14">
        <v>115505</v>
      </c>
      <c r="F33" s="30">
        <v>7.49</v>
      </c>
      <c r="G33" s="10">
        <v>10311</v>
      </c>
      <c r="H33">
        <f t="shared" si="0"/>
        <v>33</v>
      </c>
      <c r="I33" s="18">
        <f>(Table4[[#This Row],[New_Followers]]-Table4[[#This Row],[Unfollows]])/Table4[[#This Row],[Total_Followers]]</f>
        <v>1.031124193757846E-2</v>
      </c>
      <c r="J33" s="14">
        <f>Table4[[#This Row],[New_Followers]]-Table4[[#This Row],[Unfollows]]</f>
        <v>1191</v>
      </c>
    </row>
    <row r="34" spans="1:10" x14ac:dyDescent="0.3">
      <c r="A34" s="9">
        <v>45516</v>
      </c>
      <c r="B34" s="8" t="s">
        <v>29</v>
      </c>
      <c r="C34" s="14">
        <v>1109</v>
      </c>
      <c r="D34" s="14">
        <v>205</v>
      </c>
      <c r="E34" s="14">
        <v>276722</v>
      </c>
      <c r="F34" s="30">
        <v>9.3800000000000008</v>
      </c>
      <c r="G34" s="10">
        <v>8274</v>
      </c>
      <c r="H34">
        <f t="shared" si="0"/>
        <v>33</v>
      </c>
      <c r="I34" s="18">
        <f>(Table4[[#This Row],[New_Followers]]-Table4[[#This Row],[Unfollows]])/Table4[[#This Row],[Total_Followers]]</f>
        <v>3.2668165162148292E-3</v>
      </c>
      <c r="J34" s="14">
        <f>Table4[[#This Row],[New_Followers]]-Table4[[#This Row],[Unfollows]]</f>
        <v>904</v>
      </c>
    </row>
    <row r="35" spans="1:10" x14ac:dyDescent="0.3">
      <c r="A35" s="9">
        <v>45523</v>
      </c>
      <c r="B35" s="8" t="s">
        <v>14</v>
      </c>
      <c r="C35" s="14">
        <v>1002</v>
      </c>
      <c r="D35" s="14">
        <v>93</v>
      </c>
      <c r="E35" s="14">
        <v>353538</v>
      </c>
      <c r="F35" s="30">
        <v>5.84</v>
      </c>
      <c r="G35" s="10">
        <v>6031</v>
      </c>
      <c r="H35">
        <f t="shared" si="0"/>
        <v>34</v>
      </c>
      <c r="I35" s="18">
        <f>(Table4[[#This Row],[New_Followers]]-Table4[[#This Row],[Unfollows]])/Table4[[#This Row],[Total_Followers]]</f>
        <v>2.5711521816608116E-3</v>
      </c>
      <c r="J35" s="14">
        <f>Table4[[#This Row],[New_Followers]]-Table4[[#This Row],[Unfollows]]</f>
        <v>909</v>
      </c>
    </row>
    <row r="36" spans="1:10" x14ac:dyDescent="0.3">
      <c r="A36" s="9">
        <v>45523</v>
      </c>
      <c r="B36" s="8" t="s">
        <v>23</v>
      </c>
      <c r="C36" s="14">
        <v>571</v>
      </c>
      <c r="D36" s="14">
        <v>189</v>
      </c>
      <c r="E36" s="14">
        <v>61445</v>
      </c>
      <c r="F36" s="30">
        <v>5.41</v>
      </c>
      <c r="G36" s="10">
        <v>27829</v>
      </c>
      <c r="H36">
        <f t="shared" si="0"/>
        <v>34</v>
      </c>
      <c r="I36" s="18">
        <f>(Table4[[#This Row],[New_Followers]]-Table4[[#This Row],[Unfollows]])/Table4[[#This Row],[Total_Followers]]</f>
        <v>6.2169419806330862E-3</v>
      </c>
      <c r="J36" s="14">
        <f>Table4[[#This Row],[New_Followers]]-Table4[[#This Row],[Unfollows]]</f>
        <v>382</v>
      </c>
    </row>
    <row r="37" spans="1:10" x14ac:dyDescent="0.3">
      <c r="A37" s="9">
        <v>45523</v>
      </c>
      <c r="B37" s="8" t="s">
        <v>29</v>
      </c>
      <c r="C37" s="14">
        <v>1240</v>
      </c>
      <c r="D37" s="14">
        <v>231</v>
      </c>
      <c r="E37" s="14">
        <v>165035</v>
      </c>
      <c r="F37" s="30">
        <v>6.05</v>
      </c>
      <c r="G37" s="10">
        <v>18267</v>
      </c>
      <c r="H37">
        <f t="shared" si="0"/>
        <v>34</v>
      </c>
      <c r="I37" s="18">
        <f>(Table4[[#This Row],[New_Followers]]-Table4[[#This Row],[Unfollows]])/Table4[[#This Row],[Total_Followers]]</f>
        <v>6.1138546368952043E-3</v>
      </c>
      <c r="J37" s="14">
        <f>Table4[[#This Row],[New_Followers]]-Table4[[#This Row],[Unfollows]]</f>
        <v>1009</v>
      </c>
    </row>
    <row r="38" spans="1:10" x14ac:dyDescent="0.3">
      <c r="A38" s="9">
        <v>45530</v>
      </c>
      <c r="B38" s="8" t="s">
        <v>14</v>
      </c>
      <c r="C38" s="14">
        <v>1154</v>
      </c>
      <c r="D38" s="14">
        <v>132</v>
      </c>
      <c r="E38" s="14">
        <v>194595</v>
      </c>
      <c r="F38" s="30">
        <v>7.54</v>
      </c>
      <c r="G38" s="10">
        <v>26624</v>
      </c>
      <c r="H38">
        <f t="shared" si="0"/>
        <v>35</v>
      </c>
      <c r="I38" s="18">
        <f>(Table4[[#This Row],[New_Followers]]-Table4[[#This Row],[Unfollows]])/Table4[[#This Row],[Total_Followers]]</f>
        <v>5.2519335029163131E-3</v>
      </c>
      <c r="J38" s="14">
        <f>Table4[[#This Row],[New_Followers]]-Table4[[#This Row],[Unfollows]]</f>
        <v>1022</v>
      </c>
    </row>
    <row r="39" spans="1:10" x14ac:dyDescent="0.3">
      <c r="A39" s="9">
        <v>45530</v>
      </c>
      <c r="B39" s="8" t="s">
        <v>23</v>
      </c>
      <c r="C39" s="14">
        <v>537</v>
      </c>
      <c r="D39" s="14">
        <v>275</v>
      </c>
      <c r="E39" s="14">
        <v>236238</v>
      </c>
      <c r="F39" s="30">
        <v>5.87</v>
      </c>
      <c r="G39" s="10">
        <v>26644</v>
      </c>
      <c r="H39">
        <f t="shared" si="0"/>
        <v>35</v>
      </c>
      <c r="I39" s="18">
        <f>(Table4[[#This Row],[New_Followers]]-Table4[[#This Row],[Unfollows]])/Table4[[#This Row],[Total_Followers]]</f>
        <v>1.1090510417460359E-3</v>
      </c>
      <c r="J39" s="14">
        <f>Table4[[#This Row],[New_Followers]]-Table4[[#This Row],[Unfollows]]</f>
        <v>262</v>
      </c>
    </row>
    <row r="40" spans="1:10" x14ac:dyDescent="0.3">
      <c r="A40" s="9">
        <v>45530</v>
      </c>
      <c r="B40" s="8" t="s">
        <v>29</v>
      </c>
      <c r="C40" s="14">
        <v>1456</v>
      </c>
      <c r="D40" s="14">
        <v>290</v>
      </c>
      <c r="E40" s="14">
        <v>271044</v>
      </c>
      <c r="F40" s="30">
        <v>7.17</v>
      </c>
      <c r="G40" s="10">
        <v>13051</v>
      </c>
      <c r="H40">
        <f t="shared" si="0"/>
        <v>35</v>
      </c>
      <c r="I40" s="18">
        <f>(Table4[[#This Row],[New_Followers]]-Table4[[#This Row],[Unfollows]])/Table4[[#This Row],[Total_Followers]]</f>
        <v>4.3018845648676966E-3</v>
      </c>
      <c r="J40" s="14">
        <f>Table4[[#This Row],[New_Followers]]-Table4[[#This Row],[Unfollows]]</f>
        <v>1166</v>
      </c>
    </row>
    <row r="41" spans="1:10" x14ac:dyDescent="0.3">
      <c r="A41" s="9">
        <v>45537</v>
      </c>
      <c r="B41" s="8" t="s">
        <v>14</v>
      </c>
      <c r="C41" s="14">
        <v>721</v>
      </c>
      <c r="D41" s="14">
        <v>206</v>
      </c>
      <c r="E41" s="14">
        <v>334887</v>
      </c>
      <c r="F41" s="30">
        <v>6.05</v>
      </c>
      <c r="G41" s="10">
        <v>14217</v>
      </c>
      <c r="H41">
        <f t="shared" si="0"/>
        <v>36</v>
      </c>
      <c r="I41" s="18">
        <f>(Table4[[#This Row],[New_Followers]]-Table4[[#This Row],[Unfollows]])/Table4[[#This Row],[Total_Followers]]</f>
        <v>1.5378321642822803E-3</v>
      </c>
      <c r="J41" s="14">
        <f>Table4[[#This Row],[New_Followers]]-Table4[[#This Row],[Unfollows]]</f>
        <v>515</v>
      </c>
    </row>
    <row r="42" spans="1:10" x14ac:dyDescent="0.3">
      <c r="A42" s="9">
        <v>45537</v>
      </c>
      <c r="B42" s="8" t="s">
        <v>23</v>
      </c>
      <c r="C42" s="14">
        <v>1098</v>
      </c>
      <c r="D42" s="14">
        <v>142</v>
      </c>
      <c r="E42" s="14">
        <v>359150</v>
      </c>
      <c r="F42" s="30">
        <v>7.51</v>
      </c>
      <c r="G42" s="10">
        <v>16385</v>
      </c>
      <c r="H42">
        <f t="shared" si="0"/>
        <v>36</v>
      </c>
      <c r="I42" s="18">
        <f>(Table4[[#This Row],[New_Followers]]-Table4[[#This Row],[Unfollows]])/Table4[[#This Row],[Total_Followers]]</f>
        <v>2.6618404566337186E-3</v>
      </c>
      <c r="J42" s="14">
        <f>Table4[[#This Row],[New_Followers]]-Table4[[#This Row],[Unfollows]]</f>
        <v>956</v>
      </c>
    </row>
    <row r="43" spans="1:10" x14ac:dyDescent="0.3">
      <c r="A43" s="9">
        <v>45537</v>
      </c>
      <c r="B43" s="8" t="s">
        <v>29</v>
      </c>
      <c r="C43" s="14">
        <v>1096</v>
      </c>
      <c r="D43" s="14">
        <v>65</v>
      </c>
      <c r="E43" s="14">
        <v>358295</v>
      </c>
      <c r="F43" s="30">
        <v>7.66</v>
      </c>
      <c r="G43" s="10">
        <v>24548</v>
      </c>
      <c r="H43">
        <f t="shared" si="0"/>
        <v>36</v>
      </c>
      <c r="I43" s="18">
        <f>(Table4[[#This Row],[New_Followers]]-Table4[[#This Row],[Unfollows]])/Table4[[#This Row],[Total_Followers]]</f>
        <v>2.8775171297394605E-3</v>
      </c>
      <c r="J43" s="14">
        <f>Table4[[#This Row],[New_Followers]]-Table4[[#This Row],[Unfollows]]</f>
        <v>1031</v>
      </c>
    </row>
    <row r="44" spans="1:10" x14ac:dyDescent="0.3">
      <c r="A44" s="9">
        <v>45544</v>
      </c>
      <c r="B44" s="8" t="s">
        <v>14</v>
      </c>
      <c r="C44" s="14">
        <v>912</v>
      </c>
      <c r="D44" s="14">
        <v>275</v>
      </c>
      <c r="E44" s="14">
        <v>368454</v>
      </c>
      <c r="F44" s="30">
        <v>6.03</v>
      </c>
      <c r="G44" s="10">
        <v>9195</v>
      </c>
      <c r="H44">
        <f t="shared" si="0"/>
        <v>37</v>
      </c>
      <c r="I44" s="18">
        <f>(Table4[[#This Row],[New_Followers]]-Table4[[#This Row],[Unfollows]])/Table4[[#This Row],[Total_Followers]]</f>
        <v>1.7288453918263881E-3</v>
      </c>
      <c r="J44" s="14">
        <f>Table4[[#This Row],[New_Followers]]-Table4[[#This Row],[Unfollows]]</f>
        <v>637</v>
      </c>
    </row>
    <row r="45" spans="1:10" x14ac:dyDescent="0.3">
      <c r="A45" s="9">
        <v>45544</v>
      </c>
      <c r="B45" s="8" t="s">
        <v>23</v>
      </c>
      <c r="C45" s="14">
        <v>1430</v>
      </c>
      <c r="D45" s="14">
        <v>162</v>
      </c>
      <c r="E45" s="14">
        <v>269082</v>
      </c>
      <c r="F45" s="30">
        <v>3.4</v>
      </c>
      <c r="G45" s="10">
        <v>18071</v>
      </c>
      <c r="H45">
        <f t="shared" si="0"/>
        <v>37</v>
      </c>
      <c r="I45" s="18">
        <f>(Table4[[#This Row],[New_Followers]]-Table4[[#This Row],[Unfollows]])/Table4[[#This Row],[Total_Followers]]</f>
        <v>4.7123181781018424E-3</v>
      </c>
      <c r="J45" s="14">
        <f>Table4[[#This Row],[New_Followers]]-Table4[[#This Row],[Unfollows]]</f>
        <v>1268</v>
      </c>
    </row>
    <row r="46" spans="1:10" x14ac:dyDescent="0.3">
      <c r="A46" s="9">
        <v>45544</v>
      </c>
      <c r="B46" s="8" t="s">
        <v>29</v>
      </c>
      <c r="C46" s="14">
        <v>854</v>
      </c>
      <c r="D46" s="14">
        <v>129</v>
      </c>
      <c r="E46" s="14">
        <v>310903</v>
      </c>
      <c r="F46" s="30">
        <v>7.83</v>
      </c>
      <c r="G46" s="10">
        <v>16875</v>
      </c>
      <c r="H46">
        <f t="shared" si="0"/>
        <v>37</v>
      </c>
      <c r="I46" s="18">
        <f>(Table4[[#This Row],[New_Followers]]-Table4[[#This Row],[Unfollows]])/Table4[[#This Row],[Total_Followers]]</f>
        <v>2.3319170287838973E-3</v>
      </c>
      <c r="J46" s="14">
        <f>Table4[[#This Row],[New_Followers]]-Table4[[#This Row],[Unfollows]]</f>
        <v>725</v>
      </c>
    </row>
    <row r="47" spans="1:10" x14ac:dyDescent="0.3">
      <c r="A47" s="9">
        <v>45551</v>
      </c>
      <c r="B47" s="8" t="s">
        <v>14</v>
      </c>
      <c r="C47" s="14">
        <v>681</v>
      </c>
      <c r="D47" s="14">
        <v>210</v>
      </c>
      <c r="E47" s="14">
        <v>248581</v>
      </c>
      <c r="F47" s="30">
        <v>8.76</v>
      </c>
      <c r="G47" s="10">
        <v>9567</v>
      </c>
      <c r="H47">
        <f t="shared" si="0"/>
        <v>38</v>
      </c>
      <c r="I47" s="18">
        <f>(Table4[[#This Row],[New_Followers]]-Table4[[#This Row],[Unfollows]])/Table4[[#This Row],[Total_Followers]]</f>
        <v>1.8947546272643525E-3</v>
      </c>
      <c r="J47" s="14">
        <f>Table4[[#This Row],[New_Followers]]-Table4[[#This Row],[Unfollows]]</f>
        <v>471</v>
      </c>
    </row>
    <row r="48" spans="1:10" x14ac:dyDescent="0.3">
      <c r="A48" s="9">
        <v>45551</v>
      </c>
      <c r="B48" s="8" t="s">
        <v>23</v>
      </c>
      <c r="C48" s="14">
        <v>1373</v>
      </c>
      <c r="D48" s="14">
        <v>82</v>
      </c>
      <c r="E48" s="14">
        <v>371015</v>
      </c>
      <c r="F48" s="30">
        <v>9.52</v>
      </c>
      <c r="G48" s="10">
        <v>20306</v>
      </c>
      <c r="H48">
        <f t="shared" si="0"/>
        <v>38</v>
      </c>
      <c r="I48" s="18">
        <f>(Table4[[#This Row],[New_Followers]]-Table4[[#This Row],[Unfollows]])/Table4[[#This Row],[Total_Followers]]</f>
        <v>3.4796436801746559E-3</v>
      </c>
      <c r="J48" s="14">
        <f>Table4[[#This Row],[New_Followers]]-Table4[[#This Row],[Unfollows]]</f>
        <v>1291</v>
      </c>
    </row>
    <row r="49" spans="1:10" x14ac:dyDescent="0.3">
      <c r="A49" s="9">
        <v>45551</v>
      </c>
      <c r="B49" s="8" t="s">
        <v>29</v>
      </c>
      <c r="C49" s="14">
        <v>685</v>
      </c>
      <c r="D49" s="14">
        <v>285</v>
      </c>
      <c r="E49" s="14">
        <v>177452</v>
      </c>
      <c r="F49" s="30">
        <v>3.36</v>
      </c>
      <c r="G49" s="10">
        <v>21134</v>
      </c>
      <c r="H49">
        <f t="shared" si="0"/>
        <v>38</v>
      </c>
      <c r="I49" s="18">
        <f>(Table4[[#This Row],[New_Followers]]-Table4[[#This Row],[Unfollows]])/Table4[[#This Row],[Total_Followers]]</f>
        <v>2.2541306944976669E-3</v>
      </c>
      <c r="J49" s="14">
        <f>Table4[[#This Row],[New_Followers]]-Table4[[#This Row],[Unfollows]]</f>
        <v>400</v>
      </c>
    </row>
    <row r="50" spans="1:10" x14ac:dyDescent="0.3">
      <c r="A50" s="9">
        <v>45558</v>
      </c>
      <c r="B50" s="8" t="s">
        <v>14</v>
      </c>
      <c r="C50" s="14">
        <v>1290</v>
      </c>
      <c r="D50" s="14">
        <v>177</v>
      </c>
      <c r="E50" s="14">
        <v>80745</v>
      </c>
      <c r="F50" s="30">
        <v>9.2200000000000006</v>
      </c>
      <c r="G50" s="10">
        <v>26872</v>
      </c>
      <c r="H50">
        <f t="shared" si="0"/>
        <v>39</v>
      </c>
      <c r="I50" s="18">
        <f>(Table4[[#This Row],[New_Followers]]-Table4[[#This Row],[Unfollows]])/Table4[[#This Row],[Total_Followers]]</f>
        <v>1.3784135240572171E-2</v>
      </c>
      <c r="J50" s="14">
        <f>Table4[[#This Row],[New_Followers]]-Table4[[#This Row],[Unfollows]]</f>
        <v>1113</v>
      </c>
    </row>
    <row r="51" spans="1:10" x14ac:dyDescent="0.3">
      <c r="A51" s="9">
        <v>45558</v>
      </c>
      <c r="B51" s="8" t="s">
        <v>23</v>
      </c>
      <c r="C51" s="14">
        <v>1437</v>
      </c>
      <c r="D51" s="14">
        <v>239</v>
      </c>
      <c r="E51" s="14">
        <v>362441</v>
      </c>
      <c r="F51" s="30">
        <v>5.57</v>
      </c>
      <c r="G51" s="10">
        <v>10253</v>
      </c>
      <c r="H51">
        <f t="shared" si="0"/>
        <v>39</v>
      </c>
      <c r="I51" s="18">
        <f>(Table4[[#This Row],[New_Followers]]-Table4[[#This Row],[Unfollows]])/Table4[[#This Row],[Total_Followers]]</f>
        <v>3.305365562946797E-3</v>
      </c>
      <c r="J51" s="14">
        <f>Table4[[#This Row],[New_Followers]]-Table4[[#This Row],[Unfollows]]</f>
        <v>1198</v>
      </c>
    </row>
    <row r="52" spans="1:10" x14ac:dyDescent="0.3">
      <c r="A52" s="9">
        <v>45558</v>
      </c>
      <c r="B52" s="8" t="s">
        <v>29</v>
      </c>
      <c r="C52" s="14">
        <v>769</v>
      </c>
      <c r="D52" s="14">
        <v>295</v>
      </c>
      <c r="E52" s="14">
        <v>344771</v>
      </c>
      <c r="F52" s="30">
        <v>8.06</v>
      </c>
      <c r="G52" s="10">
        <v>23963</v>
      </c>
      <c r="H52">
        <f t="shared" si="0"/>
        <v>39</v>
      </c>
      <c r="I52" s="18">
        <f>(Table4[[#This Row],[New_Followers]]-Table4[[#This Row],[Unfollows]])/Table4[[#This Row],[Total_Followers]]</f>
        <v>1.3748256088824177E-3</v>
      </c>
      <c r="J52" s="14">
        <f>Table4[[#This Row],[New_Followers]]-Table4[[#This Row],[Unfollows]]</f>
        <v>474</v>
      </c>
    </row>
    <row r="53" spans="1:10" x14ac:dyDescent="0.3">
      <c r="A53" s="9">
        <v>45565</v>
      </c>
      <c r="B53" s="8" t="s">
        <v>14</v>
      </c>
      <c r="C53" s="14">
        <v>1416</v>
      </c>
      <c r="D53" s="14">
        <v>284</v>
      </c>
      <c r="E53" s="14">
        <v>374952</v>
      </c>
      <c r="F53" s="30">
        <v>3.45</v>
      </c>
      <c r="G53" s="10">
        <v>11335</v>
      </c>
      <c r="H53">
        <f t="shared" si="0"/>
        <v>40</v>
      </c>
      <c r="I53" s="18">
        <f>(Table4[[#This Row],[New_Followers]]-Table4[[#This Row],[Unfollows]])/Table4[[#This Row],[Total_Followers]]</f>
        <v>3.0190531054641659E-3</v>
      </c>
      <c r="J53" s="14">
        <f>Table4[[#This Row],[New_Followers]]-Table4[[#This Row],[Unfollows]]</f>
        <v>1132</v>
      </c>
    </row>
    <row r="54" spans="1:10" x14ac:dyDescent="0.3">
      <c r="A54" s="9">
        <v>45565</v>
      </c>
      <c r="B54" s="8" t="s">
        <v>23</v>
      </c>
      <c r="C54" s="14">
        <v>998</v>
      </c>
      <c r="D54" s="14">
        <v>154</v>
      </c>
      <c r="E54" s="14">
        <v>179781</v>
      </c>
      <c r="F54" s="30">
        <v>9.58</v>
      </c>
      <c r="G54" s="10">
        <v>12115</v>
      </c>
      <c r="H54">
        <f t="shared" si="0"/>
        <v>40</v>
      </c>
      <c r="I54" s="18">
        <f>(Table4[[#This Row],[New_Followers]]-Table4[[#This Row],[Unfollows]])/Table4[[#This Row],[Total_Followers]]</f>
        <v>4.6946006530167259E-3</v>
      </c>
      <c r="J54" s="14">
        <f>Table4[[#This Row],[New_Followers]]-Table4[[#This Row],[Unfollows]]</f>
        <v>844</v>
      </c>
    </row>
    <row r="55" spans="1:10" x14ac:dyDescent="0.3">
      <c r="A55" s="9">
        <v>45565</v>
      </c>
      <c r="B55" s="8" t="s">
        <v>29</v>
      </c>
      <c r="C55" s="14">
        <v>1421</v>
      </c>
      <c r="D55" s="14">
        <v>246</v>
      </c>
      <c r="E55" s="14">
        <v>358581</v>
      </c>
      <c r="F55" s="30">
        <v>8.8800000000000008</v>
      </c>
      <c r="G55" s="10">
        <v>24358</v>
      </c>
      <c r="H55">
        <f t="shared" si="0"/>
        <v>40</v>
      </c>
      <c r="I55" s="18">
        <f>(Table4[[#This Row],[New_Followers]]-Table4[[#This Row],[Unfollows]])/Table4[[#This Row],[Total_Followers]]</f>
        <v>3.2768049617799048E-3</v>
      </c>
      <c r="J55" s="14">
        <f>Table4[[#This Row],[New_Followers]]-Table4[[#This Row],[Unfollows]]</f>
        <v>1175</v>
      </c>
    </row>
    <row r="56" spans="1:10" x14ac:dyDescent="0.3">
      <c r="A56" s="9">
        <v>45572</v>
      </c>
      <c r="B56" s="8" t="s">
        <v>14</v>
      </c>
      <c r="C56" s="14">
        <v>764</v>
      </c>
      <c r="D56" s="14">
        <v>205</v>
      </c>
      <c r="E56" s="14">
        <v>319294</v>
      </c>
      <c r="F56" s="30">
        <v>6.23</v>
      </c>
      <c r="G56" s="10">
        <v>12181</v>
      </c>
      <c r="H56">
        <f t="shared" si="0"/>
        <v>41</v>
      </c>
      <c r="I56" s="18">
        <f>(Table4[[#This Row],[New_Followers]]-Table4[[#This Row],[Unfollows]])/Table4[[#This Row],[Total_Followers]]</f>
        <v>1.7507375647522346E-3</v>
      </c>
      <c r="J56" s="14">
        <f>Table4[[#This Row],[New_Followers]]-Table4[[#This Row],[Unfollows]]</f>
        <v>559</v>
      </c>
    </row>
    <row r="57" spans="1:10" x14ac:dyDescent="0.3">
      <c r="A57" s="9">
        <v>45572</v>
      </c>
      <c r="B57" s="8" t="s">
        <v>23</v>
      </c>
      <c r="C57" s="14">
        <v>678</v>
      </c>
      <c r="D57" s="14">
        <v>124</v>
      </c>
      <c r="E57" s="14">
        <v>192022</v>
      </c>
      <c r="F57" s="30">
        <v>8.4499999999999993</v>
      </c>
      <c r="G57" s="10">
        <v>17729</v>
      </c>
      <c r="H57">
        <f t="shared" si="0"/>
        <v>41</v>
      </c>
      <c r="I57" s="18">
        <f>(Table4[[#This Row],[New_Followers]]-Table4[[#This Row],[Unfollows]])/Table4[[#This Row],[Total_Followers]]</f>
        <v>2.8850860838862216E-3</v>
      </c>
      <c r="J57" s="14">
        <f>Table4[[#This Row],[New_Followers]]-Table4[[#This Row],[Unfollows]]</f>
        <v>554</v>
      </c>
    </row>
    <row r="58" spans="1:10" x14ac:dyDescent="0.3">
      <c r="A58" s="9">
        <v>45572</v>
      </c>
      <c r="B58" s="8" t="s">
        <v>29</v>
      </c>
      <c r="C58" s="14">
        <v>1328</v>
      </c>
      <c r="D58" s="14">
        <v>103</v>
      </c>
      <c r="E58" s="14">
        <v>151462</v>
      </c>
      <c r="F58" s="30">
        <v>8.4</v>
      </c>
      <c r="G58" s="10">
        <v>10881</v>
      </c>
      <c r="H58">
        <f t="shared" si="0"/>
        <v>41</v>
      </c>
      <c r="I58" s="18">
        <f>(Table4[[#This Row],[New_Followers]]-Table4[[#This Row],[Unfollows]])/Table4[[#This Row],[Total_Followers]]</f>
        <v>8.0878372132944243E-3</v>
      </c>
      <c r="J58" s="14">
        <f>Table4[[#This Row],[New_Followers]]-Table4[[#This Row],[Unfollows]]</f>
        <v>1225</v>
      </c>
    </row>
    <row r="59" spans="1:10" x14ac:dyDescent="0.3">
      <c r="A59" s="9">
        <v>45579</v>
      </c>
      <c r="B59" s="8" t="s">
        <v>14</v>
      </c>
      <c r="C59" s="14">
        <v>1161</v>
      </c>
      <c r="D59" s="14">
        <v>269</v>
      </c>
      <c r="E59" s="14">
        <v>188193</v>
      </c>
      <c r="F59" s="30">
        <v>7.34</v>
      </c>
      <c r="G59" s="10">
        <v>18576</v>
      </c>
      <c r="H59">
        <f t="shared" si="0"/>
        <v>42</v>
      </c>
      <c r="I59" s="18">
        <f>(Table4[[#This Row],[New_Followers]]-Table4[[#This Row],[Unfollows]])/Table4[[#This Row],[Total_Followers]]</f>
        <v>4.7398149771776844E-3</v>
      </c>
      <c r="J59" s="14">
        <f>Table4[[#This Row],[New_Followers]]-Table4[[#This Row],[Unfollows]]</f>
        <v>892</v>
      </c>
    </row>
    <row r="60" spans="1:10" x14ac:dyDescent="0.3">
      <c r="A60" s="9">
        <v>45579</v>
      </c>
      <c r="B60" s="8" t="s">
        <v>23</v>
      </c>
      <c r="C60" s="14">
        <v>588</v>
      </c>
      <c r="D60" s="14">
        <v>52</v>
      </c>
      <c r="E60" s="14">
        <v>292040</v>
      </c>
      <c r="F60" s="30">
        <v>8.14</v>
      </c>
      <c r="G60" s="10">
        <v>9383</v>
      </c>
      <c r="H60">
        <f t="shared" si="0"/>
        <v>42</v>
      </c>
      <c r="I60" s="18">
        <f>(Table4[[#This Row],[New_Followers]]-Table4[[#This Row],[Unfollows]])/Table4[[#This Row],[Total_Followers]]</f>
        <v>1.8353650184906177E-3</v>
      </c>
      <c r="J60" s="14">
        <f>Table4[[#This Row],[New_Followers]]-Table4[[#This Row],[Unfollows]]</f>
        <v>536</v>
      </c>
    </row>
    <row r="61" spans="1:10" x14ac:dyDescent="0.3">
      <c r="A61" s="9">
        <v>45579</v>
      </c>
      <c r="B61" s="8" t="s">
        <v>29</v>
      </c>
      <c r="C61" s="14">
        <v>1457</v>
      </c>
      <c r="D61" s="14">
        <v>215</v>
      </c>
      <c r="E61" s="14">
        <v>325325</v>
      </c>
      <c r="F61" s="30">
        <v>9.58</v>
      </c>
      <c r="G61" s="10">
        <v>14178</v>
      </c>
      <c r="H61">
        <f t="shared" si="0"/>
        <v>42</v>
      </c>
      <c r="I61" s="18">
        <f>(Table4[[#This Row],[New_Followers]]-Table4[[#This Row],[Unfollows]])/Table4[[#This Row],[Total_Followers]]</f>
        <v>3.8177207407976638E-3</v>
      </c>
      <c r="J61" s="14">
        <f>Table4[[#This Row],[New_Followers]]-Table4[[#This Row],[Unfollows]]</f>
        <v>1242</v>
      </c>
    </row>
    <row r="62" spans="1:10" x14ac:dyDescent="0.3">
      <c r="A62" s="9">
        <v>45586</v>
      </c>
      <c r="B62" s="8" t="s">
        <v>14</v>
      </c>
      <c r="C62" s="14">
        <v>1190</v>
      </c>
      <c r="D62" s="14">
        <v>242</v>
      </c>
      <c r="E62" s="14">
        <v>86849</v>
      </c>
      <c r="F62" s="30">
        <v>8.06</v>
      </c>
      <c r="G62" s="10">
        <v>21254</v>
      </c>
      <c r="H62">
        <f t="shared" si="0"/>
        <v>43</v>
      </c>
      <c r="I62" s="18">
        <f>(Table4[[#This Row],[New_Followers]]-Table4[[#This Row],[Unfollows]])/Table4[[#This Row],[Total_Followers]]</f>
        <v>1.0915497012055407E-2</v>
      </c>
      <c r="J62" s="14">
        <f>Table4[[#This Row],[New_Followers]]-Table4[[#This Row],[Unfollows]]</f>
        <v>948</v>
      </c>
    </row>
    <row r="63" spans="1:10" x14ac:dyDescent="0.3">
      <c r="A63" s="9">
        <v>45586</v>
      </c>
      <c r="B63" s="8" t="s">
        <v>23</v>
      </c>
      <c r="C63" s="14">
        <v>886</v>
      </c>
      <c r="D63" s="14">
        <v>124</v>
      </c>
      <c r="E63" s="14">
        <v>141161</v>
      </c>
      <c r="F63" s="30">
        <v>8.19</v>
      </c>
      <c r="G63" s="10">
        <v>14215</v>
      </c>
      <c r="H63">
        <f t="shared" si="0"/>
        <v>43</v>
      </c>
      <c r="I63" s="18">
        <f>(Table4[[#This Row],[New_Followers]]-Table4[[#This Row],[Unfollows]])/Table4[[#This Row],[Total_Followers]]</f>
        <v>5.3980915408646862E-3</v>
      </c>
      <c r="J63" s="14">
        <f>Table4[[#This Row],[New_Followers]]-Table4[[#This Row],[Unfollows]]</f>
        <v>762</v>
      </c>
    </row>
    <row r="64" spans="1:10" x14ac:dyDescent="0.3">
      <c r="A64" s="9">
        <v>45586</v>
      </c>
      <c r="B64" s="8" t="s">
        <v>29</v>
      </c>
      <c r="C64" s="14">
        <v>1237</v>
      </c>
      <c r="D64" s="14">
        <v>155</v>
      </c>
      <c r="E64" s="14">
        <v>149916</v>
      </c>
      <c r="F64" s="30">
        <v>4.4800000000000004</v>
      </c>
      <c r="G64" s="10">
        <v>16921</v>
      </c>
      <c r="H64">
        <f t="shared" si="0"/>
        <v>43</v>
      </c>
      <c r="I64" s="18">
        <f>(Table4[[#This Row],[New_Followers]]-Table4[[#This Row],[Unfollows]])/Table4[[#This Row],[Total_Followers]]</f>
        <v>7.2173750633688196E-3</v>
      </c>
      <c r="J64" s="14">
        <f>Table4[[#This Row],[New_Followers]]-Table4[[#This Row],[Unfollows]]</f>
        <v>1082</v>
      </c>
    </row>
    <row r="65" spans="1:10" x14ac:dyDescent="0.3">
      <c r="A65" s="9">
        <v>45593</v>
      </c>
      <c r="B65" s="8" t="s">
        <v>14</v>
      </c>
      <c r="C65" s="14">
        <v>1435</v>
      </c>
      <c r="D65" s="14">
        <v>261</v>
      </c>
      <c r="E65" s="14">
        <v>308533</v>
      </c>
      <c r="F65" s="30">
        <v>4.5199999999999996</v>
      </c>
      <c r="G65" s="10">
        <v>25130</v>
      </c>
      <c r="H65">
        <f t="shared" si="0"/>
        <v>44</v>
      </c>
      <c r="I65" s="18">
        <f>(Table4[[#This Row],[New_Followers]]-Table4[[#This Row],[Unfollows]])/Table4[[#This Row],[Total_Followers]]</f>
        <v>3.8051035059458792E-3</v>
      </c>
      <c r="J65" s="14">
        <f>Table4[[#This Row],[New_Followers]]-Table4[[#This Row],[Unfollows]]</f>
        <v>1174</v>
      </c>
    </row>
    <row r="66" spans="1:10" x14ac:dyDescent="0.3">
      <c r="A66" s="9">
        <v>45593</v>
      </c>
      <c r="B66" s="8" t="s">
        <v>23</v>
      </c>
      <c r="C66" s="14">
        <v>746</v>
      </c>
      <c r="D66" s="14">
        <v>282</v>
      </c>
      <c r="E66" s="14">
        <v>293894</v>
      </c>
      <c r="F66" s="30">
        <v>5.42</v>
      </c>
      <c r="G66" s="10">
        <v>25537</v>
      </c>
      <c r="H66">
        <f t="shared" si="0"/>
        <v>44</v>
      </c>
      <c r="I66" s="18">
        <f>(Table4[[#This Row],[New_Followers]]-Table4[[#This Row],[Unfollows]])/Table4[[#This Row],[Total_Followers]]</f>
        <v>1.5788005199153436E-3</v>
      </c>
      <c r="J66" s="14">
        <f>Table4[[#This Row],[New_Followers]]-Table4[[#This Row],[Unfollows]]</f>
        <v>464</v>
      </c>
    </row>
    <row r="67" spans="1:10" x14ac:dyDescent="0.3">
      <c r="A67" s="9">
        <v>45593</v>
      </c>
      <c r="B67" s="8" t="s">
        <v>29</v>
      </c>
      <c r="C67" s="14">
        <v>759</v>
      </c>
      <c r="D67" s="14">
        <v>216</v>
      </c>
      <c r="E67" s="14">
        <v>147656</v>
      </c>
      <c r="F67" s="30">
        <v>4.08</v>
      </c>
      <c r="G67" s="10">
        <v>24943</v>
      </c>
      <c r="H67">
        <f t="shared" ref="H67:H130" si="1">WEEKNUM(A67)</f>
        <v>44</v>
      </c>
      <c r="I67" s="18">
        <f>(Table4[[#This Row],[New_Followers]]-Table4[[#This Row],[Unfollows]])/Table4[[#This Row],[Total_Followers]]</f>
        <v>3.6774665438586984E-3</v>
      </c>
      <c r="J67" s="14">
        <f>Table4[[#This Row],[New_Followers]]-Table4[[#This Row],[Unfollows]]</f>
        <v>543</v>
      </c>
    </row>
    <row r="68" spans="1:10" x14ac:dyDescent="0.3">
      <c r="A68" s="9">
        <v>45600</v>
      </c>
      <c r="B68" s="8" t="s">
        <v>14</v>
      </c>
      <c r="C68" s="14">
        <v>1437</v>
      </c>
      <c r="D68" s="14">
        <v>235</v>
      </c>
      <c r="E68" s="14">
        <v>326791</v>
      </c>
      <c r="F68" s="30">
        <v>4.0599999999999996</v>
      </c>
      <c r="G68" s="10">
        <v>14563</v>
      </c>
      <c r="H68">
        <f t="shared" si="1"/>
        <v>45</v>
      </c>
      <c r="I68" s="18">
        <f>(Table4[[#This Row],[New_Followers]]-Table4[[#This Row],[Unfollows]])/Table4[[#This Row],[Total_Followers]]</f>
        <v>3.6781918718691762E-3</v>
      </c>
      <c r="J68" s="14">
        <f>Table4[[#This Row],[New_Followers]]-Table4[[#This Row],[Unfollows]]</f>
        <v>1202</v>
      </c>
    </row>
    <row r="69" spans="1:10" x14ac:dyDescent="0.3">
      <c r="A69" s="9">
        <v>45600</v>
      </c>
      <c r="B69" s="8" t="s">
        <v>23</v>
      </c>
      <c r="C69" s="14">
        <v>1463</v>
      </c>
      <c r="D69" s="14">
        <v>73</v>
      </c>
      <c r="E69" s="14">
        <v>348877</v>
      </c>
      <c r="F69" s="30">
        <v>9.91</v>
      </c>
      <c r="G69" s="10">
        <v>26273</v>
      </c>
      <c r="H69">
        <f t="shared" si="1"/>
        <v>45</v>
      </c>
      <c r="I69" s="18">
        <f>(Table4[[#This Row],[New_Followers]]-Table4[[#This Row],[Unfollows]])/Table4[[#This Row],[Total_Followers]]</f>
        <v>3.9842122008616216E-3</v>
      </c>
      <c r="J69" s="14">
        <f>Table4[[#This Row],[New_Followers]]-Table4[[#This Row],[Unfollows]]</f>
        <v>1390</v>
      </c>
    </row>
    <row r="70" spans="1:10" x14ac:dyDescent="0.3">
      <c r="A70" s="9">
        <v>45600</v>
      </c>
      <c r="B70" s="8" t="s">
        <v>29</v>
      </c>
      <c r="C70" s="14">
        <v>1208</v>
      </c>
      <c r="D70" s="14">
        <v>224</v>
      </c>
      <c r="E70" s="14">
        <v>122730</v>
      </c>
      <c r="F70" s="30">
        <v>8.7200000000000006</v>
      </c>
      <c r="G70" s="10">
        <v>10858</v>
      </c>
      <c r="H70">
        <f t="shared" si="1"/>
        <v>45</v>
      </c>
      <c r="I70" s="18">
        <f>(Table4[[#This Row],[New_Followers]]-Table4[[#This Row],[Unfollows]])/Table4[[#This Row],[Total_Followers]]</f>
        <v>8.0175996088975802E-3</v>
      </c>
      <c r="J70" s="14">
        <f>Table4[[#This Row],[New_Followers]]-Table4[[#This Row],[Unfollows]]</f>
        <v>984</v>
      </c>
    </row>
    <row r="71" spans="1:10" x14ac:dyDescent="0.3">
      <c r="A71" s="9">
        <v>45607</v>
      </c>
      <c r="B71" s="8" t="s">
        <v>14</v>
      </c>
      <c r="C71" s="14">
        <v>1391</v>
      </c>
      <c r="D71" s="14">
        <v>187</v>
      </c>
      <c r="E71" s="14">
        <v>306508</v>
      </c>
      <c r="F71" s="30">
        <v>8.3800000000000008</v>
      </c>
      <c r="G71" s="10">
        <v>25038</v>
      </c>
      <c r="H71">
        <f t="shared" si="1"/>
        <v>46</v>
      </c>
      <c r="I71" s="18">
        <f>(Table4[[#This Row],[New_Followers]]-Table4[[#This Row],[Unfollows]])/Table4[[#This Row],[Total_Followers]]</f>
        <v>3.9281193313061976E-3</v>
      </c>
      <c r="J71" s="14">
        <f>Table4[[#This Row],[New_Followers]]-Table4[[#This Row],[Unfollows]]</f>
        <v>1204</v>
      </c>
    </row>
    <row r="72" spans="1:10" x14ac:dyDescent="0.3">
      <c r="A72" s="9">
        <v>45607</v>
      </c>
      <c r="B72" s="8" t="s">
        <v>23</v>
      </c>
      <c r="C72" s="14">
        <v>655</v>
      </c>
      <c r="D72" s="14">
        <v>123</v>
      </c>
      <c r="E72" s="14">
        <v>202472</v>
      </c>
      <c r="F72" s="30">
        <v>7.56</v>
      </c>
      <c r="G72" s="10">
        <v>9092</v>
      </c>
      <c r="H72">
        <f t="shared" si="1"/>
        <v>46</v>
      </c>
      <c r="I72" s="18">
        <f>(Table4[[#This Row],[New_Followers]]-Table4[[#This Row],[Unfollows]])/Table4[[#This Row],[Total_Followers]]</f>
        <v>2.6275238057607967E-3</v>
      </c>
      <c r="J72" s="14">
        <f>Table4[[#This Row],[New_Followers]]-Table4[[#This Row],[Unfollows]]</f>
        <v>532</v>
      </c>
    </row>
    <row r="73" spans="1:10" x14ac:dyDescent="0.3">
      <c r="A73" s="9">
        <v>45607</v>
      </c>
      <c r="B73" s="8" t="s">
        <v>29</v>
      </c>
      <c r="C73" s="14">
        <v>1148</v>
      </c>
      <c r="D73" s="14">
        <v>90</v>
      </c>
      <c r="E73" s="14">
        <v>227249</v>
      </c>
      <c r="F73" s="30">
        <v>7.24</v>
      </c>
      <c r="G73" s="10">
        <v>17662</v>
      </c>
      <c r="H73">
        <f t="shared" si="1"/>
        <v>46</v>
      </c>
      <c r="I73" s="18">
        <f>(Table4[[#This Row],[New_Followers]]-Table4[[#This Row],[Unfollows]])/Table4[[#This Row],[Total_Followers]]</f>
        <v>4.6556860536239985E-3</v>
      </c>
      <c r="J73" s="14">
        <f>Table4[[#This Row],[New_Followers]]-Table4[[#This Row],[Unfollows]]</f>
        <v>1058</v>
      </c>
    </row>
    <row r="74" spans="1:10" x14ac:dyDescent="0.3">
      <c r="A74" s="9">
        <v>45614</v>
      </c>
      <c r="B74" s="8" t="s">
        <v>14</v>
      </c>
      <c r="C74" s="14">
        <v>946</v>
      </c>
      <c r="D74" s="14">
        <v>270</v>
      </c>
      <c r="E74" s="14">
        <v>246567</v>
      </c>
      <c r="F74" s="30">
        <v>4.53</v>
      </c>
      <c r="G74" s="10">
        <v>5924</v>
      </c>
      <c r="H74">
        <f t="shared" si="1"/>
        <v>47</v>
      </c>
      <c r="I74" s="18">
        <f>(Table4[[#This Row],[New_Followers]]-Table4[[#This Row],[Unfollows]])/Table4[[#This Row],[Total_Followers]]</f>
        <v>2.741648314656868E-3</v>
      </c>
      <c r="J74" s="14">
        <f>Table4[[#This Row],[New_Followers]]-Table4[[#This Row],[Unfollows]]</f>
        <v>676</v>
      </c>
    </row>
    <row r="75" spans="1:10" x14ac:dyDescent="0.3">
      <c r="A75" s="9">
        <v>45614</v>
      </c>
      <c r="B75" s="8" t="s">
        <v>23</v>
      </c>
      <c r="C75" s="14">
        <v>791</v>
      </c>
      <c r="D75" s="14">
        <v>214</v>
      </c>
      <c r="E75" s="14">
        <v>114738</v>
      </c>
      <c r="F75" s="30">
        <v>6.62</v>
      </c>
      <c r="G75" s="10">
        <v>25347</v>
      </c>
      <c r="H75">
        <f t="shared" si="1"/>
        <v>47</v>
      </c>
      <c r="I75" s="18">
        <f>(Table4[[#This Row],[New_Followers]]-Table4[[#This Row],[Unfollows]])/Table4[[#This Row],[Total_Followers]]</f>
        <v>5.0288483327232481E-3</v>
      </c>
      <c r="J75" s="14">
        <f>Table4[[#This Row],[New_Followers]]-Table4[[#This Row],[Unfollows]]</f>
        <v>577</v>
      </c>
    </row>
    <row r="76" spans="1:10" x14ac:dyDescent="0.3">
      <c r="A76" s="9">
        <v>45614</v>
      </c>
      <c r="B76" s="8" t="s">
        <v>29</v>
      </c>
      <c r="C76" s="14">
        <v>793</v>
      </c>
      <c r="D76" s="14">
        <v>111</v>
      </c>
      <c r="E76" s="14">
        <v>333500</v>
      </c>
      <c r="F76" s="30">
        <v>6.36</v>
      </c>
      <c r="G76" s="10">
        <v>8910</v>
      </c>
      <c r="H76">
        <f t="shared" si="1"/>
        <v>47</v>
      </c>
      <c r="I76" s="18">
        <f>(Table4[[#This Row],[New_Followers]]-Table4[[#This Row],[Unfollows]])/Table4[[#This Row],[Total_Followers]]</f>
        <v>2.0449775112443779E-3</v>
      </c>
      <c r="J76" s="14">
        <f>Table4[[#This Row],[New_Followers]]-Table4[[#This Row],[Unfollows]]</f>
        <v>682</v>
      </c>
    </row>
    <row r="77" spans="1:10" x14ac:dyDescent="0.3">
      <c r="A77" s="9">
        <v>45621</v>
      </c>
      <c r="B77" s="8" t="s">
        <v>14</v>
      </c>
      <c r="C77" s="14">
        <v>663</v>
      </c>
      <c r="D77" s="14">
        <v>213</v>
      </c>
      <c r="E77" s="14">
        <v>352677</v>
      </c>
      <c r="F77" s="30">
        <v>9</v>
      </c>
      <c r="G77" s="10">
        <v>20438</v>
      </c>
      <c r="H77">
        <f t="shared" si="1"/>
        <v>48</v>
      </c>
      <c r="I77" s="18">
        <f>(Table4[[#This Row],[New_Followers]]-Table4[[#This Row],[Unfollows]])/Table4[[#This Row],[Total_Followers]]</f>
        <v>1.2759550523566889E-3</v>
      </c>
      <c r="J77" s="14">
        <f>Table4[[#This Row],[New_Followers]]-Table4[[#This Row],[Unfollows]]</f>
        <v>450</v>
      </c>
    </row>
    <row r="78" spans="1:10" x14ac:dyDescent="0.3">
      <c r="A78" s="9">
        <v>45621</v>
      </c>
      <c r="B78" s="8" t="s">
        <v>23</v>
      </c>
      <c r="C78" s="14">
        <v>954</v>
      </c>
      <c r="D78" s="14">
        <v>271</v>
      </c>
      <c r="E78" s="14">
        <v>160936</v>
      </c>
      <c r="F78" s="30">
        <v>8.83</v>
      </c>
      <c r="G78" s="10">
        <v>8760</v>
      </c>
      <c r="H78">
        <f t="shared" si="1"/>
        <v>48</v>
      </c>
      <c r="I78" s="18">
        <f>(Table4[[#This Row],[New_Followers]]-Table4[[#This Row],[Unfollows]])/Table4[[#This Row],[Total_Followers]]</f>
        <v>4.2439230501565839E-3</v>
      </c>
      <c r="J78" s="14">
        <f>Table4[[#This Row],[New_Followers]]-Table4[[#This Row],[Unfollows]]</f>
        <v>683</v>
      </c>
    </row>
    <row r="79" spans="1:10" x14ac:dyDescent="0.3">
      <c r="A79" s="9">
        <v>45621</v>
      </c>
      <c r="B79" s="8" t="s">
        <v>29</v>
      </c>
      <c r="C79" s="14">
        <v>1313</v>
      </c>
      <c r="D79" s="14">
        <v>159</v>
      </c>
      <c r="E79" s="14">
        <v>197183</v>
      </c>
      <c r="F79" s="30">
        <v>9.7100000000000009</v>
      </c>
      <c r="G79" s="10">
        <v>6625</v>
      </c>
      <c r="H79">
        <f t="shared" si="1"/>
        <v>48</v>
      </c>
      <c r="I79" s="18">
        <f>(Table4[[#This Row],[New_Followers]]-Table4[[#This Row],[Unfollows]])/Table4[[#This Row],[Total_Followers]]</f>
        <v>5.8524314976443207E-3</v>
      </c>
      <c r="J79" s="14">
        <f>Table4[[#This Row],[New_Followers]]-Table4[[#This Row],[Unfollows]]</f>
        <v>1154</v>
      </c>
    </row>
    <row r="80" spans="1:10" x14ac:dyDescent="0.3">
      <c r="A80" s="9">
        <v>45628</v>
      </c>
      <c r="B80" s="8" t="s">
        <v>14</v>
      </c>
      <c r="C80" s="14">
        <v>895</v>
      </c>
      <c r="D80" s="14">
        <v>87</v>
      </c>
      <c r="E80" s="14">
        <v>171271</v>
      </c>
      <c r="F80" s="30">
        <v>6.68</v>
      </c>
      <c r="G80" s="10">
        <v>23329</v>
      </c>
      <c r="H80">
        <f t="shared" si="1"/>
        <v>49</v>
      </c>
      <c r="I80" s="18">
        <f>(Table4[[#This Row],[New_Followers]]-Table4[[#This Row],[Unfollows]])/Table4[[#This Row],[Total_Followers]]</f>
        <v>4.7176696580273365E-3</v>
      </c>
      <c r="J80" s="14">
        <f>Table4[[#This Row],[New_Followers]]-Table4[[#This Row],[Unfollows]]</f>
        <v>808</v>
      </c>
    </row>
    <row r="81" spans="1:10" x14ac:dyDescent="0.3">
      <c r="A81" s="9">
        <v>45628</v>
      </c>
      <c r="B81" s="8" t="s">
        <v>23</v>
      </c>
      <c r="C81" s="14">
        <v>1027</v>
      </c>
      <c r="D81" s="14">
        <v>156</v>
      </c>
      <c r="E81" s="14">
        <v>111293</v>
      </c>
      <c r="F81" s="30">
        <v>5.51</v>
      </c>
      <c r="G81" s="10">
        <v>7299</v>
      </c>
      <c r="H81">
        <f t="shared" si="1"/>
        <v>49</v>
      </c>
      <c r="I81" s="18">
        <f>(Table4[[#This Row],[New_Followers]]-Table4[[#This Row],[Unfollows]])/Table4[[#This Row],[Total_Followers]]</f>
        <v>7.8261885293774095E-3</v>
      </c>
      <c r="J81" s="14">
        <f>Table4[[#This Row],[New_Followers]]-Table4[[#This Row],[Unfollows]]</f>
        <v>871</v>
      </c>
    </row>
    <row r="82" spans="1:10" x14ac:dyDescent="0.3">
      <c r="A82" s="9">
        <v>45628</v>
      </c>
      <c r="B82" s="8" t="s">
        <v>29</v>
      </c>
      <c r="C82" s="14">
        <v>990</v>
      </c>
      <c r="D82" s="14">
        <v>286</v>
      </c>
      <c r="E82" s="14">
        <v>351493</v>
      </c>
      <c r="F82" s="30">
        <v>7.97</v>
      </c>
      <c r="G82" s="10">
        <v>14496</v>
      </c>
      <c r="H82">
        <f t="shared" si="1"/>
        <v>49</v>
      </c>
      <c r="I82" s="18">
        <f>(Table4[[#This Row],[New_Followers]]-Table4[[#This Row],[Unfollows]])/Table4[[#This Row],[Total_Followers]]</f>
        <v>2.0028848369668811E-3</v>
      </c>
      <c r="J82" s="14">
        <f>Table4[[#This Row],[New_Followers]]-Table4[[#This Row],[Unfollows]]</f>
        <v>704</v>
      </c>
    </row>
    <row r="83" spans="1:10" x14ac:dyDescent="0.3">
      <c r="A83" s="9">
        <v>45635</v>
      </c>
      <c r="B83" s="8" t="s">
        <v>14</v>
      </c>
      <c r="C83" s="14">
        <v>875</v>
      </c>
      <c r="D83" s="14">
        <v>264</v>
      </c>
      <c r="E83" s="14">
        <v>345631</v>
      </c>
      <c r="F83" s="30">
        <v>9.18</v>
      </c>
      <c r="G83" s="10">
        <v>25703</v>
      </c>
      <c r="H83">
        <f t="shared" si="1"/>
        <v>50</v>
      </c>
      <c r="I83" s="18">
        <f>(Table4[[#This Row],[New_Followers]]-Table4[[#This Row],[Unfollows]])/Table4[[#This Row],[Total_Followers]]</f>
        <v>1.7677812464738406E-3</v>
      </c>
      <c r="J83" s="14">
        <f>Table4[[#This Row],[New_Followers]]-Table4[[#This Row],[Unfollows]]</f>
        <v>611</v>
      </c>
    </row>
    <row r="84" spans="1:10" x14ac:dyDescent="0.3">
      <c r="A84" s="9">
        <v>45635</v>
      </c>
      <c r="B84" s="8" t="s">
        <v>23</v>
      </c>
      <c r="C84" s="14">
        <v>599</v>
      </c>
      <c r="D84" s="14">
        <v>194</v>
      </c>
      <c r="E84" s="14">
        <v>105622</v>
      </c>
      <c r="F84" s="30">
        <v>6.44</v>
      </c>
      <c r="G84" s="10">
        <v>15108</v>
      </c>
      <c r="H84">
        <f t="shared" si="1"/>
        <v>50</v>
      </c>
      <c r="I84" s="18">
        <f>(Table4[[#This Row],[New_Followers]]-Table4[[#This Row],[Unfollows]])/Table4[[#This Row],[Total_Followers]]</f>
        <v>3.8344284334702996E-3</v>
      </c>
      <c r="J84" s="14">
        <f>Table4[[#This Row],[New_Followers]]-Table4[[#This Row],[Unfollows]]</f>
        <v>405</v>
      </c>
    </row>
    <row r="85" spans="1:10" x14ac:dyDescent="0.3">
      <c r="A85" s="9">
        <v>45635</v>
      </c>
      <c r="B85" s="8" t="s">
        <v>29</v>
      </c>
      <c r="C85" s="14">
        <v>630</v>
      </c>
      <c r="D85" s="14">
        <v>248</v>
      </c>
      <c r="E85" s="14">
        <v>119054</v>
      </c>
      <c r="F85" s="30">
        <v>5.0199999999999996</v>
      </c>
      <c r="G85" s="10">
        <v>18867</v>
      </c>
      <c r="H85">
        <f t="shared" si="1"/>
        <v>50</v>
      </c>
      <c r="I85" s="18">
        <f>(Table4[[#This Row],[New_Followers]]-Table4[[#This Row],[Unfollows]])/Table4[[#This Row],[Total_Followers]]</f>
        <v>3.2086280175382597E-3</v>
      </c>
      <c r="J85" s="14">
        <f>Table4[[#This Row],[New_Followers]]-Table4[[#This Row],[Unfollows]]</f>
        <v>382</v>
      </c>
    </row>
    <row r="86" spans="1:10" x14ac:dyDescent="0.3">
      <c r="A86" s="9">
        <v>45642</v>
      </c>
      <c r="B86" s="8" t="s">
        <v>14</v>
      </c>
      <c r="C86" s="14">
        <v>1350</v>
      </c>
      <c r="D86" s="14">
        <v>233</v>
      </c>
      <c r="E86" s="14">
        <v>171670</v>
      </c>
      <c r="F86" s="30">
        <v>4.53</v>
      </c>
      <c r="G86" s="10">
        <v>17574</v>
      </c>
      <c r="H86">
        <f t="shared" si="1"/>
        <v>51</v>
      </c>
      <c r="I86" s="18">
        <f>(Table4[[#This Row],[New_Followers]]-Table4[[#This Row],[Unfollows]])/Table4[[#This Row],[Total_Followers]]</f>
        <v>6.506669773402458E-3</v>
      </c>
      <c r="J86" s="14">
        <f>Table4[[#This Row],[New_Followers]]-Table4[[#This Row],[Unfollows]]</f>
        <v>1117</v>
      </c>
    </row>
    <row r="87" spans="1:10" x14ac:dyDescent="0.3">
      <c r="A87" s="9">
        <v>45642</v>
      </c>
      <c r="B87" s="8" t="s">
        <v>23</v>
      </c>
      <c r="C87" s="14">
        <v>632</v>
      </c>
      <c r="D87" s="14">
        <v>155</v>
      </c>
      <c r="E87" s="14">
        <v>170432</v>
      </c>
      <c r="F87" s="30">
        <v>9.17</v>
      </c>
      <c r="G87" s="10">
        <v>12840</v>
      </c>
      <c r="H87">
        <f t="shared" si="1"/>
        <v>51</v>
      </c>
      <c r="I87" s="18">
        <f>(Table4[[#This Row],[New_Followers]]-Table4[[#This Row],[Unfollows]])/Table4[[#This Row],[Total_Followers]]</f>
        <v>2.7987701840030041E-3</v>
      </c>
      <c r="J87" s="14">
        <f>Table4[[#This Row],[New_Followers]]-Table4[[#This Row],[Unfollows]]</f>
        <v>477</v>
      </c>
    </row>
    <row r="88" spans="1:10" x14ac:dyDescent="0.3">
      <c r="A88" s="9">
        <v>45642</v>
      </c>
      <c r="B88" s="8" t="s">
        <v>29</v>
      </c>
      <c r="C88" s="14">
        <v>1182</v>
      </c>
      <c r="D88" s="14">
        <v>83</v>
      </c>
      <c r="E88" s="14">
        <v>140300</v>
      </c>
      <c r="F88" s="30">
        <v>3.27</v>
      </c>
      <c r="G88" s="10">
        <v>21079</v>
      </c>
      <c r="H88">
        <f t="shared" si="1"/>
        <v>51</v>
      </c>
      <c r="I88" s="18">
        <f>(Table4[[#This Row],[New_Followers]]-Table4[[#This Row],[Unfollows]])/Table4[[#This Row],[Total_Followers]]</f>
        <v>7.8332145402708487E-3</v>
      </c>
      <c r="J88" s="14">
        <f>Table4[[#This Row],[New_Followers]]-Table4[[#This Row],[Unfollows]]</f>
        <v>1099</v>
      </c>
    </row>
    <row r="89" spans="1:10" x14ac:dyDescent="0.3">
      <c r="A89" s="9">
        <v>45649</v>
      </c>
      <c r="B89" s="8" t="s">
        <v>14</v>
      </c>
      <c r="C89" s="14">
        <v>661</v>
      </c>
      <c r="D89" s="14">
        <v>94</v>
      </c>
      <c r="E89" s="14">
        <v>116538</v>
      </c>
      <c r="F89" s="30">
        <v>5.31</v>
      </c>
      <c r="G89" s="10">
        <v>23486</v>
      </c>
      <c r="H89">
        <f t="shared" si="1"/>
        <v>52</v>
      </c>
      <c r="I89" s="18">
        <f>(Table4[[#This Row],[New_Followers]]-Table4[[#This Row],[Unfollows]])/Table4[[#This Row],[Total_Followers]]</f>
        <v>4.8653658034289241E-3</v>
      </c>
      <c r="J89" s="14">
        <f>Table4[[#This Row],[New_Followers]]-Table4[[#This Row],[Unfollows]]</f>
        <v>567</v>
      </c>
    </row>
    <row r="90" spans="1:10" x14ac:dyDescent="0.3">
      <c r="A90" s="9">
        <v>45649</v>
      </c>
      <c r="B90" s="8" t="s">
        <v>23</v>
      </c>
      <c r="C90" s="14">
        <v>1360</v>
      </c>
      <c r="D90" s="14">
        <v>227</v>
      </c>
      <c r="E90" s="14">
        <v>176902</v>
      </c>
      <c r="F90" s="30">
        <v>6.03</v>
      </c>
      <c r="G90" s="10">
        <v>5960</v>
      </c>
      <c r="H90">
        <f t="shared" si="1"/>
        <v>52</v>
      </c>
      <c r="I90" s="18">
        <f>(Table4[[#This Row],[New_Followers]]-Table4[[#This Row],[Unfollows]])/Table4[[#This Row],[Total_Followers]]</f>
        <v>6.4046760353189906E-3</v>
      </c>
      <c r="J90" s="14">
        <f>Table4[[#This Row],[New_Followers]]-Table4[[#This Row],[Unfollows]]</f>
        <v>1133</v>
      </c>
    </row>
    <row r="91" spans="1:10" x14ac:dyDescent="0.3">
      <c r="A91" s="9">
        <v>45649</v>
      </c>
      <c r="B91" s="8" t="s">
        <v>29</v>
      </c>
      <c r="C91" s="14">
        <v>935</v>
      </c>
      <c r="D91" s="14">
        <v>85</v>
      </c>
      <c r="E91" s="14">
        <v>326821</v>
      </c>
      <c r="F91" s="30">
        <v>8.89</v>
      </c>
      <c r="G91" s="10">
        <v>13301</v>
      </c>
      <c r="H91">
        <f t="shared" si="1"/>
        <v>52</v>
      </c>
      <c r="I91" s="18">
        <f>(Table4[[#This Row],[New_Followers]]-Table4[[#This Row],[Unfollows]])/Table4[[#This Row],[Total_Followers]]</f>
        <v>2.60081206532016E-3</v>
      </c>
      <c r="J91" s="14">
        <f>Table4[[#This Row],[New_Followers]]-Table4[[#This Row],[Unfollows]]</f>
        <v>850</v>
      </c>
    </row>
    <row r="92" spans="1:10" x14ac:dyDescent="0.3">
      <c r="A92" s="9">
        <v>45656</v>
      </c>
      <c r="B92" s="8" t="s">
        <v>14</v>
      </c>
      <c r="C92" s="14">
        <v>664</v>
      </c>
      <c r="D92" s="14">
        <v>251</v>
      </c>
      <c r="E92" s="14">
        <v>240598</v>
      </c>
      <c r="F92" s="30">
        <v>4.79</v>
      </c>
      <c r="G92" s="10">
        <v>10563</v>
      </c>
      <c r="H92">
        <f t="shared" si="1"/>
        <v>53</v>
      </c>
      <c r="I92" s="18">
        <f>(Table4[[#This Row],[New_Followers]]-Table4[[#This Row],[Unfollows]])/Table4[[#This Row],[Total_Followers]]</f>
        <v>1.7165562473503519E-3</v>
      </c>
      <c r="J92" s="14">
        <f>Table4[[#This Row],[New_Followers]]-Table4[[#This Row],[Unfollows]]</f>
        <v>413</v>
      </c>
    </row>
    <row r="93" spans="1:10" x14ac:dyDescent="0.3">
      <c r="A93" s="9">
        <v>45656</v>
      </c>
      <c r="B93" s="8" t="s">
        <v>23</v>
      </c>
      <c r="C93" s="14">
        <v>1490</v>
      </c>
      <c r="D93" s="14">
        <v>103</v>
      </c>
      <c r="E93" s="14">
        <v>373274</v>
      </c>
      <c r="F93" s="30">
        <v>4.8</v>
      </c>
      <c r="G93" s="10">
        <v>19949</v>
      </c>
      <c r="H93">
        <f t="shared" si="1"/>
        <v>53</v>
      </c>
      <c r="I93" s="18">
        <f>(Table4[[#This Row],[New_Followers]]-Table4[[#This Row],[Unfollows]])/Table4[[#This Row],[Total_Followers]]</f>
        <v>3.7157691133055076E-3</v>
      </c>
      <c r="J93" s="14">
        <f>Table4[[#This Row],[New_Followers]]-Table4[[#This Row],[Unfollows]]</f>
        <v>1387</v>
      </c>
    </row>
    <row r="94" spans="1:10" x14ac:dyDescent="0.3">
      <c r="A94" s="9">
        <v>45656</v>
      </c>
      <c r="B94" s="8" t="s">
        <v>29</v>
      </c>
      <c r="C94" s="14">
        <v>601</v>
      </c>
      <c r="D94" s="14">
        <v>64</v>
      </c>
      <c r="E94" s="14">
        <v>123272</v>
      </c>
      <c r="F94" s="30">
        <v>4.07</v>
      </c>
      <c r="G94" s="10">
        <v>14273</v>
      </c>
      <c r="H94">
        <f t="shared" si="1"/>
        <v>53</v>
      </c>
      <c r="I94" s="18">
        <f>(Table4[[#This Row],[New_Followers]]-Table4[[#This Row],[Unfollows]])/Table4[[#This Row],[Total_Followers]]</f>
        <v>4.3562203906807708E-3</v>
      </c>
      <c r="J94" s="14">
        <f>Table4[[#This Row],[New_Followers]]-Table4[[#This Row],[Unfollows]]</f>
        <v>537</v>
      </c>
    </row>
    <row r="95" spans="1:10" x14ac:dyDescent="0.3">
      <c r="A95" s="9">
        <v>45663</v>
      </c>
      <c r="B95" s="8" t="s">
        <v>14</v>
      </c>
      <c r="C95" s="14">
        <v>613</v>
      </c>
      <c r="D95" s="14">
        <v>170</v>
      </c>
      <c r="E95" s="14">
        <v>139266</v>
      </c>
      <c r="F95" s="30">
        <v>6.06</v>
      </c>
      <c r="G95" s="10">
        <v>9247</v>
      </c>
      <c r="H95">
        <f t="shared" si="1"/>
        <v>2</v>
      </c>
      <c r="I95" s="18">
        <f>(Table4[[#This Row],[New_Followers]]-Table4[[#This Row],[Unfollows]])/Table4[[#This Row],[Total_Followers]]</f>
        <v>3.1809630491290049E-3</v>
      </c>
      <c r="J95" s="14">
        <f>Table4[[#This Row],[New_Followers]]-Table4[[#This Row],[Unfollows]]</f>
        <v>443</v>
      </c>
    </row>
    <row r="96" spans="1:10" x14ac:dyDescent="0.3">
      <c r="A96" s="9">
        <v>45663</v>
      </c>
      <c r="B96" s="8" t="s">
        <v>23</v>
      </c>
      <c r="C96" s="14">
        <v>1340</v>
      </c>
      <c r="D96" s="14">
        <v>57</v>
      </c>
      <c r="E96" s="14">
        <v>155927</v>
      </c>
      <c r="F96" s="30">
        <v>7.79</v>
      </c>
      <c r="G96" s="10">
        <v>11972</v>
      </c>
      <c r="H96">
        <f t="shared" si="1"/>
        <v>2</v>
      </c>
      <c r="I96" s="18">
        <f>(Table4[[#This Row],[New_Followers]]-Table4[[#This Row],[Unfollows]])/Table4[[#This Row],[Total_Followers]]</f>
        <v>8.2282093543773697E-3</v>
      </c>
      <c r="J96" s="14">
        <f>Table4[[#This Row],[New_Followers]]-Table4[[#This Row],[Unfollows]]</f>
        <v>1283</v>
      </c>
    </row>
    <row r="97" spans="1:10" x14ac:dyDescent="0.3">
      <c r="A97" s="9">
        <v>45663</v>
      </c>
      <c r="B97" s="8" t="s">
        <v>29</v>
      </c>
      <c r="C97" s="14">
        <v>953</v>
      </c>
      <c r="D97" s="14">
        <v>228</v>
      </c>
      <c r="E97" s="14">
        <v>258398</v>
      </c>
      <c r="F97" s="30">
        <v>9.0500000000000007</v>
      </c>
      <c r="G97" s="10">
        <v>13314</v>
      </c>
      <c r="H97">
        <f t="shared" si="1"/>
        <v>2</v>
      </c>
      <c r="I97" s="18">
        <f>(Table4[[#This Row],[New_Followers]]-Table4[[#This Row],[Unfollows]])/Table4[[#This Row],[Total_Followers]]</f>
        <v>2.8057492705051896E-3</v>
      </c>
      <c r="J97" s="14">
        <f>Table4[[#This Row],[New_Followers]]-Table4[[#This Row],[Unfollows]]</f>
        <v>725</v>
      </c>
    </row>
    <row r="98" spans="1:10" x14ac:dyDescent="0.3">
      <c r="A98" s="9">
        <v>45670</v>
      </c>
      <c r="B98" s="8" t="s">
        <v>14</v>
      </c>
      <c r="C98" s="14">
        <v>532</v>
      </c>
      <c r="D98" s="14">
        <v>65</v>
      </c>
      <c r="E98" s="14">
        <v>338561</v>
      </c>
      <c r="F98" s="30">
        <v>3.5</v>
      </c>
      <c r="G98" s="10">
        <v>14749</v>
      </c>
      <c r="H98">
        <f t="shared" si="1"/>
        <v>3</v>
      </c>
      <c r="I98" s="18">
        <f>(Table4[[#This Row],[New_Followers]]-Table4[[#This Row],[Unfollows]])/Table4[[#This Row],[Total_Followers]]</f>
        <v>1.3793673813581599E-3</v>
      </c>
      <c r="J98" s="14">
        <f>Table4[[#This Row],[New_Followers]]-Table4[[#This Row],[Unfollows]]</f>
        <v>467</v>
      </c>
    </row>
    <row r="99" spans="1:10" x14ac:dyDescent="0.3">
      <c r="A99" s="9">
        <v>45670</v>
      </c>
      <c r="B99" s="8" t="s">
        <v>23</v>
      </c>
      <c r="C99" s="14">
        <v>1414</v>
      </c>
      <c r="D99" s="14">
        <v>60</v>
      </c>
      <c r="E99" s="14">
        <v>341856</v>
      </c>
      <c r="F99" s="30">
        <v>8.76</v>
      </c>
      <c r="G99" s="10">
        <v>6868</v>
      </c>
      <c r="H99">
        <f t="shared" si="1"/>
        <v>3</v>
      </c>
      <c r="I99" s="18">
        <f>(Table4[[#This Row],[New_Followers]]-Table4[[#This Row],[Unfollows]])/Table4[[#This Row],[Total_Followers]]</f>
        <v>3.960732004118693E-3</v>
      </c>
      <c r="J99" s="14">
        <f>Table4[[#This Row],[New_Followers]]-Table4[[#This Row],[Unfollows]]</f>
        <v>1354</v>
      </c>
    </row>
    <row r="100" spans="1:10" x14ac:dyDescent="0.3">
      <c r="A100" s="9">
        <v>45670</v>
      </c>
      <c r="B100" s="8" t="s">
        <v>29</v>
      </c>
      <c r="C100" s="14">
        <v>685</v>
      </c>
      <c r="D100" s="14">
        <v>165</v>
      </c>
      <c r="E100" s="14">
        <v>175860</v>
      </c>
      <c r="F100" s="30">
        <v>6.26</v>
      </c>
      <c r="G100" s="10">
        <v>6027</v>
      </c>
      <c r="H100">
        <f t="shared" si="1"/>
        <v>3</v>
      </c>
      <c r="I100" s="18">
        <f>(Table4[[#This Row],[New_Followers]]-Table4[[#This Row],[Unfollows]])/Table4[[#This Row],[Total_Followers]]</f>
        <v>2.9568975321278288E-3</v>
      </c>
      <c r="J100" s="14">
        <f>Table4[[#This Row],[New_Followers]]-Table4[[#This Row],[Unfollows]]</f>
        <v>520</v>
      </c>
    </row>
    <row r="101" spans="1:10" x14ac:dyDescent="0.3">
      <c r="A101" s="9">
        <v>45677</v>
      </c>
      <c r="B101" s="8" t="s">
        <v>14</v>
      </c>
      <c r="C101" s="14">
        <v>601</v>
      </c>
      <c r="D101" s="14">
        <v>159</v>
      </c>
      <c r="E101" s="14">
        <v>327722</v>
      </c>
      <c r="F101" s="30">
        <v>3.33</v>
      </c>
      <c r="G101" s="10">
        <v>25267</v>
      </c>
      <c r="H101">
        <f t="shared" si="1"/>
        <v>4</v>
      </c>
      <c r="I101" s="18">
        <f>(Table4[[#This Row],[New_Followers]]-Table4[[#This Row],[Unfollows]])/Table4[[#This Row],[Total_Followers]]</f>
        <v>1.3487040845594743E-3</v>
      </c>
      <c r="J101" s="14">
        <f>Table4[[#This Row],[New_Followers]]-Table4[[#This Row],[Unfollows]]</f>
        <v>442</v>
      </c>
    </row>
    <row r="102" spans="1:10" x14ac:dyDescent="0.3">
      <c r="A102" s="9">
        <v>45677</v>
      </c>
      <c r="B102" s="8" t="s">
        <v>23</v>
      </c>
      <c r="C102" s="14">
        <v>841</v>
      </c>
      <c r="D102" s="14">
        <v>295</v>
      </c>
      <c r="E102" s="14">
        <v>271638</v>
      </c>
      <c r="F102" s="30">
        <v>9.15</v>
      </c>
      <c r="G102" s="10">
        <v>5900</v>
      </c>
      <c r="H102">
        <f t="shared" si="1"/>
        <v>4</v>
      </c>
      <c r="I102" s="18">
        <f>(Table4[[#This Row],[New_Followers]]-Table4[[#This Row],[Unfollows]])/Table4[[#This Row],[Total_Followers]]</f>
        <v>2.0100280520398473E-3</v>
      </c>
      <c r="J102" s="14">
        <f>Table4[[#This Row],[New_Followers]]-Table4[[#This Row],[Unfollows]]</f>
        <v>546</v>
      </c>
    </row>
    <row r="103" spans="1:10" x14ac:dyDescent="0.3">
      <c r="A103" s="9">
        <v>45677</v>
      </c>
      <c r="B103" s="8" t="s">
        <v>29</v>
      </c>
      <c r="C103" s="14">
        <v>1105</v>
      </c>
      <c r="D103" s="14">
        <v>261</v>
      </c>
      <c r="E103" s="14">
        <v>333851</v>
      </c>
      <c r="F103" s="30">
        <v>6.03</v>
      </c>
      <c r="G103" s="10">
        <v>11181</v>
      </c>
      <c r="H103">
        <f t="shared" si="1"/>
        <v>4</v>
      </c>
      <c r="I103" s="18">
        <f>(Table4[[#This Row],[New_Followers]]-Table4[[#This Row],[Unfollows]])/Table4[[#This Row],[Total_Followers]]</f>
        <v>2.5280739012313877E-3</v>
      </c>
      <c r="J103" s="14">
        <f>Table4[[#This Row],[New_Followers]]-Table4[[#This Row],[Unfollows]]</f>
        <v>844</v>
      </c>
    </row>
    <row r="104" spans="1:10" x14ac:dyDescent="0.3">
      <c r="A104" s="9">
        <v>45684</v>
      </c>
      <c r="B104" s="8" t="s">
        <v>14</v>
      </c>
      <c r="C104" s="14">
        <v>566</v>
      </c>
      <c r="D104" s="14">
        <v>225</v>
      </c>
      <c r="E104" s="14">
        <v>368984</v>
      </c>
      <c r="F104" s="30">
        <v>9.82</v>
      </c>
      <c r="G104" s="10">
        <v>9592</v>
      </c>
      <c r="H104">
        <f t="shared" si="1"/>
        <v>5</v>
      </c>
      <c r="I104" s="18">
        <f>(Table4[[#This Row],[New_Followers]]-Table4[[#This Row],[Unfollows]])/Table4[[#This Row],[Total_Followers]]</f>
        <v>9.2415931314094918E-4</v>
      </c>
      <c r="J104" s="14">
        <f>Table4[[#This Row],[New_Followers]]-Table4[[#This Row],[Unfollows]]</f>
        <v>341</v>
      </c>
    </row>
    <row r="105" spans="1:10" x14ac:dyDescent="0.3">
      <c r="A105" s="9">
        <v>45684</v>
      </c>
      <c r="B105" s="8" t="s">
        <v>23</v>
      </c>
      <c r="C105" s="14">
        <v>1149</v>
      </c>
      <c r="D105" s="14">
        <v>280</v>
      </c>
      <c r="E105" s="14">
        <v>167310</v>
      </c>
      <c r="F105" s="30">
        <v>3.7</v>
      </c>
      <c r="G105" s="10">
        <v>5291</v>
      </c>
      <c r="H105">
        <f t="shared" si="1"/>
        <v>5</v>
      </c>
      <c r="I105" s="18">
        <f>(Table4[[#This Row],[New_Followers]]-Table4[[#This Row],[Unfollows]])/Table4[[#This Row],[Total_Followers]]</f>
        <v>5.1939513477975013E-3</v>
      </c>
      <c r="J105" s="14">
        <f>Table4[[#This Row],[New_Followers]]-Table4[[#This Row],[Unfollows]]</f>
        <v>869</v>
      </c>
    </row>
    <row r="106" spans="1:10" x14ac:dyDescent="0.3">
      <c r="A106" s="9">
        <v>45684</v>
      </c>
      <c r="B106" s="8" t="s">
        <v>29</v>
      </c>
      <c r="C106" s="14">
        <v>819</v>
      </c>
      <c r="D106" s="14">
        <v>101</v>
      </c>
      <c r="E106" s="14">
        <v>194811</v>
      </c>
      <c r="F106" s="30">
        <v>3.35</v>
      </c>
      <c r="G106" s="10">
        <v>22244</v>
      </c>
      <c r="H106">
        <f t="shared" si="1"/>
        <v>5</v>
      </c>
      <c r="I106" s="18">
        <f>(Table4[[#This Row],[New_Followers]]-Table4[[#This Row],[Unfollows]])/Table4[[#This Row],[Total_Followers]]</f>
        <v>3.685623501752981E-3</v>
      </c>
      <c r="J106" s="14">
        <f>Table4[[#This Row],[New_Followers]]-Table4[[#This Row],[Unfollows]]</f>
        <v>718</v>
      </c>
    </row>
    <row r="107" spans="1:10" x14ac:dyDescent="0.3">
      <c r="A107" s="9">
        <v>45691</v>
      </c>
      <c r="B107" s="8" t="s">
        <v>14</v>
      </c>
      <c r="C107" s="14">
        <v>795</v>
      </c>
      <c r="D107" s="14">
        <v>60</v>
      </c>
      <c r="E107" s="14">
        <v>314982</v>
      </c>
      <c r="F107" s="30">
        <v>7.31</v>
      </c>
      <c r="G107" s="10">
        <v>6824</v>
      </c>
      <c r="H107">
        <f t="shared" si="1"/>
        <v>6</v>
      </c>
      <c r="I107" s="18">
        <f>(Table4[[#This Row],[New_Followers]]-Table4[[#This Row],[Unfollows]])/Table4[[#This Row],[Total_Followers]]</f>
        <v>2.3334666742861497E-3</v>
      </c>
      <c r="J107" s="14">
        <f>Table4[[#This Row],[New_Followers]]-Table4[[#This Row],[Unfollows]]</f>
        <v>735</v>
      </c>
    </row>
    <row r="108" spans="1:10" x14ac:dyDescent="0.3">
      <c r="A108" s="9">
        <v>45691</v>
      </c>
      <c r="B108" s="8" t="s">
        <v>23</v>
      </c>
      <c r="C108" s="14">
        <v>681</v>
      </c>
      <c r="D108" s="14">
        <v>158</v>
      </c>
      <c r="E108" s="14">
        <v>75960</v>
      </c>
      <c r="F108" s="30">
        <v>3.13</v>
      </c>
      <c r="G108" s="10">
        <v>24112</v>
      </c>
      <c r="H108">
        <f t="shared" si="1"/>
        <v>6</v>
      </c>
      <c r="I108" s="18">
        <f>(Table4[[#This Row],[New_Followers]]-Table4[[#This Row],[Unfollows]])/Table4[[#This Row],[Total_Followers]]</f>
        <v>6.8852027382833069E-3</v>
      </c>
      <c r="J108" s="14">
        <f>Table4[[#This Row],[New_Followers]]-Table4[[#This Row],[Unfollows]]</f>
        <v>523</v>
      </c>
    </row>
    <row r="109" spans="1:10" x14ac:dyDescent="0.3">
      <c r="A109" s="9">
        <v>45691</v>
      </c>
      <c r="B109" s="8" t="s">
        <v>29</v>
      </c>
      <c r="C109" s="14">
        <v>534</v>
      </c>
      <c r="D109" s="14">
        <v>112</v>
      </c>
      <c r="E109" s="14">
        <v>360759</v>
      </c>
      <c r="F109" s="30">
        <v>4.8899999999999997</v>
      </c>
      <c r="G109" s="10">
        <v>25478</v>
      </c>
      <c r="H109">
        <f t="shared" si="1"/>
        <v>6</v>
      </c>
      <c r="I109" s="18">
        <f>(Table4[[#This Row],[New_Followers]]-Table4[[#This Row],[Unfollows]])/Table4[[#This Row],[Total_Followers]]</f>
        <v>1.1697559866836308E-3</v>
      </c>
      <c r="J109" s="14">
        <f>Table4[[#This Row],[New_Followers]]-Table4[[#This Row],[Unfollows]]</f>
        <v>422</v>
      </c>
    </row>
    <row r="110" spans="1:10" x14ac:dyDescent="0.3">
      <c r="A110" s="9">
        <v>45698</v>
      </c>
      <c r="B110" s="8" t="s">
        <v>14</v>
      </c>
      <c r="C110" s="14">
        <v>1066</v>
      </c>
      <c r="D110" s="14">
        <v>151</v>
      </c>
      <c r="E110" s="14">
        <v>297090</v>
      </c>
      <c r="F110" s="30">
        <v>8.6300000000000008</v>
      </c>
      <c r="G110" s="10">
        <v>11235</v>
      </c>
      <c r="H110">
        <f t="shared" si="1"/>
        <v>7</v>
      </c>
      <c r="I110" s="18">
        <f>(Table4[[#This Row],[New_Followers]]-Table4[[#This Row],[Unfollows]])/Table4[[#This Row],[Total_Followers]]</f>
        <v>3.0798747854185599E-3</v>
      </c>
      <c r="J110" s="14">
        <f>Table4[[#This Row],[New_Followers]]-Table4[[#This Row],[Unfollows]]</f>
        <v>915</v>
      </c>
    </row>
    <row r="111" spans="1:10" x14ac:dyDescent="0.3">
      <c r="A111" s="9">
        <v>45698</v>
      </c>
      <c r="B111" s="8" t="s">
        <v>23</v>
      </c>
      <c r="C111" s="14">
        <v>1270</v>
      </c>
      <c r="D111" s="14">
        <v>162</v>
      </c>
      <c r="E111" s="14">
        <v>92040</v>
      </c>
      <c r="F111" s="30">
        <v>8.0299999999999994</v>
      </c>
      <c r="G111" s="10">
        <v>6120</v>
      </c>
      <c r="H111">
        <f t="shared" si="1"/>
        <v>7</v>
      </c>
      <c r="I111" s="18">
        <f>(Table4[[#This Row],[New_Followers]]-Table4[[#This Row],[Unfollows]])/Table4[[#This Row],[Total_Followers]]</f>
        <v>1.2038244241634072E-2</v>
      </c>
      <c r="J111" s="14">
        <f>Table4[[#This Row],[New_Followers]]-Table4[[#This Row],[Unfollows]]</f>
        <v>1108</v>
      </c>
    </row>
    <row r="112" spans="1:10" x14ac:dyDescent="0.3">
      <c r="A112" s="9">
        <v>45698</v>
      </c>
      <c r="B112" s="8" t="s">
        <v>29</v>
      </c>
      <c r="C112" s="14">
        <v>536</v>
      </c>
      <c r="D112" s="14">
        <v>198</v>
      </c>
      <c r="E112" s="14">
        <v>174610</v>
      </c>
      <c r="F112" s="30">
        <v>7.85</v>
      </c>
      <c r="G112" s="10">
        <v>20572</v>
      </c>
      <c r="H112">
        <f t="shared" si="1"/>
        <v>7</v>
      </c>
      <c r="I112" s="18">
        <f>(Table4[[#This Row],[New_Followers]]-Table4[[#This Row],[Unfollows]])/Table4[[#This Row],[Total_Followers]]</f>
        <v>1.9357425118836263E-3</v>
      </c>
      <c r="J112" s="14">
        <f>Table4[[#This Row],[New_Followers]]-Table4[[#This Row],[Unfollows]]</f>
        <v>338</v>
      </c>
    </row>
    <row r="113" spans="1:10" x14ac:dyDescent="0.3">
      <c r="A113" s="9">
        <v>45705</v>
      </c>
      <c r="B113" s="8" t="s">
        <v>14</v>
      </c>
      <c r="C113" s="14">
        <v>819</v>
      </c>
      <c r="D113" s="14">
        <v>95</v>
      </c>
      <c r="E113" s="14">
        <v>177376</v>
      </c>
      <c r="F113" s="30">
        <v>6.12</v>
      </c>
      <c r="G113" s="10">
        <v>14975</v>
      </c>
      <c r="H113">
        <f t="shared" si="1"/>
        <v>8</v>
      </c>
      <c r="I113" s="18">
        <f>(Table4[[#This Row],[New_Followers]]-Table4[[#This Row],[Unfollows]])/Table4[[#This Row],[Total_Followers]]</f>
        <v>4.0817246978170664E-3</v>
      </c>
      <c r="J113" s="14">
        <f>Table4[[#This Row],[New_Followers]]-Table4[[#This Row],[Unfollows]]</f>
        <v>724</v>
      </c>
    </row>
    <row r="114" spans="1:10" x14ac:dyDescent="0.3">
      <c r="A114" s="9">
        <v>45705</v>
      </c>
      <c r="B114" s="8" t="s">
        <v>23</v>
      </c>
      <c r="C114" s="14">
        <v>681</v>
      </c>
      <c r="D114" s="14">
        <v>218</v>
      </c>
      <c r="E114" s="14">
        <v>198882</v>
      </c>
      <c r="F114" s="30">
        <v>7.16</v>
      </c>
      <c r="G114" s="10">
        <v>22234</v>
      </c>
      <c r="H114">
        <f t="shared" si="1"/>
        <v>8</v>
      </c>
      <c r="I114" s="18">
        <f>(Table4[[#This Row],[New_Followers]]-Table4[[#This Row],[Unfollows]])/Table4[[#This Row],[Total_Followers]]</f>
        <v>2.3280135960016494E-3</v>
      </c>
      <c r="J114" s="14">
        <f>Table4[[#This Row],[New_Followers]]-Table4[[#This Row],[Unfollows]]</f>
        <v>463</v>
      </c>
    </row>
    <row r="115" spans="1:10" x14ac:dyDescent="0.3">
      <c r="A115" s="9">
        <v>45705</v>
      </c>
      <c r="B115" s="8" t="s">
        <v>29</v>
      </c>
      <c r="C115" s="14">
        <v>646</v>
      </c>
      <c r="D115" s="14">
        <v>290</v>
      </c>
      <c r="E115" s="14">
        <v>336383</v>
      </c>
      <c r="F115" s="30">
        <v>7.04</v>
      </c>
      <c r="G115" s="10">
        <v>6532</v>
      </c>
      <c r="H115">
        <f t="shared" si="1"/>
        <v>8</v>
      </c>
      <c r="I115" s="18">
        <f>(Table4[[#This Row],[New_Followers]]-Table4[[#This Row],[Unfollows]])/Table4[[#This Row],[Total_Followers]]</f>
        <v>1.0583174536168594E-3</v>
      </c>
      <c r="J115" s="14">
        <f>Table4[[#This Row],[New_Followers]]-Table4[[#This Row],[Unfollows]]</f>
        <v>356</v>
      </c>
    </row>
    <row r="116" spans="1:10" x14ac:dyDescent="0.3">
      <c r="A116" s="9">
        <v>45712</v>
      </c>
      <c r="B116" s="8" t="s">
        <v>14</v>
      </c>
      <c r="C116" s="14">
        <v>645</v>
      </c>
      <c r="D116" s="14">
        <v>267</v>
      </c>
      <c r="E116" s="14">
        <v>346890</v>
      </c>
      <c r="F116" s="30">
        <v>3.71</v>
      </c>
      <c r="G116" s="10">
        <v>24858</v>
      </c>
      <c r="H116">
        <f t="shared" si="1"/>
        <v>9</v>
      </c>
      <c r="I116" s="18">
        <f>(Table4[[#This Row],[New_Followers]]-Table4[[#This Row],[Unfollows]])/Table4[[#This Row],[Total_Followers]]</f>
        <v>1.0896826083196401E-3</v>
      </c>
      <c r="J116" s="14">
        <f>Table4[[#This Row],[New_Followers]]-Table4[[#This Row],[Unfollows]]</f>
        <v>378</v>
      </c>
    </row>
    <row r="117" spans="1:10" x14ac:dyDescent="0.3">
      <c r="A117" s="9">
        <v>45712</v>
      </c>
      <c r="B117" s="8" t="s">
        <v>23</v>
      </c>
      <c r="C117" s="14">
        <v>886</v>
      </c>
      <c r="D117" s="14">
        <v>250</v>
      </c>
      <c r="E117" s="14">
        <v>168170</v>
      </c>
      <c r="F117" s="30">
        <v>4.12</v>
      </c>
      <c r="G117" s="10">
        <v>13883</v>
      </c>
      <c r="H117">
        <f t="shared" si="1"/>
        <v>9</v>
      </c>
      <c r="I117" s="18">
        <f>(Table4[[#This Row],[New_Followers]]-Table4[[#This Row],[Unfollows]])/Table4[[#This Row],[Total_Followers]]</f>
        <v>3.7818873758696555E-3</v>
      </c>
      <c r="J117" s="14">
        <f>Table4[[#This Row],[New_Followers]]-Table4[[#This Row],[Unfollows]]</f>
        <v>636</v>
      </c>
    </row>
    <row r="118" spans="1:10" x14ac:dyDescent="0.3">
      <c r="A118" s="9">
        <v>45712</v>
      </c>
      <c r="B118" s="8" t="s">
        <v>29</v>
      </c>
      <c r="C118" s="14">
        <v>978</v>
      </c>
      <c r="D118" s="14">
        <v>279</v>
      </c>
      <c r="E118" s="14">
        <v>368872</v>
      </c>
      <c r="F118" s="30">
        <v>6.82</v>
      </c>
      <c r="G118" s="10">
        <v>18654</v>
      </c>
      <c r="H118">
        <f t="shared" si="1"/>
        <v>9</v>
      </c>
      <c r="I118" s="18">
        <f>(Table4[[#This Row],[New_Followers]]-Table4[[#This Row],[Unfollows]])/Table4[[#This Row],[Total_Followers]]</f>
        <v>1.8949662755644234E-3</v>
      </c>
      <c r="J118" s="14">
        <f>Table4[[#This Row],[New_Followers]]-Table4[[#This Row],[Unfollows]]</f>
        <v>699</v>
      </c>
    </row>
    <row r="119" spans="1:10" x14ac:dyDescent="0.3">
      <c r="A119" s="9">
        <v>45719</v>
      </c>
      <c r="B119" s="8" t="s">
        <v>14</v>
      </c>
      <c r="C119" s="14">
        <v>1444</v>
      </c>
      <c r="D119" s="14">
        <v>165</v>
      </c>
      <c r="E119" s="14">
        <v>116436</v>
      </c>
      <c r="F119" s="30">
        <v>8.2200000000000006</v>
      </c>
      <c r="G119" s="10">
        <v>25234</v>
      </c>
      <c r="H119">
        <f t="shared" si="1"/>
        <v>10</v>
      </c>
      <c r="I119" s="18">
        <f>(Table4[[#This Row],[New_Followers]]-Table4[[#This Row],[Unfollows]])/Table4[[#This Row],[Total_Followers]]</f>
        <v>1.0984575217286749E-2</v>
      </c>
      <c r="J119" s="14">
        <f>Table4[[#This Row],[New_Followers]]-Table4[[#This Row],[Unfollows]]</f>
        <v>1279</v>
      </c>
    </row>
    <row r="120" spans="1:10" x14ac:dyDescent="0.3">
      <c r="A120" s="9">
        <v>45719</v>
      </c>
      <c r="B120" s="8" t="s">
        <v>23</v>
      </c>
      <c r="C120" s="14">
        <v>1234</v>
      </c>
      <c r="D120" s="14">
        <v>228</v>
      </c>
      <c r="E120" s="14">
        <v>127502</v>
      </c>
      <c r="F120" s="30">
        <v>7.71</v>
      </c>
      <c r="G120" s="10">
        <v>6772</v>
      </c>
      <c r="H120">
        <f t="shared" si="1"/>
        <v>10</v>
      </c>
      <c r="I120" s="18">
        <f>(Table4[[#This Row],[New_Followers]]-Table4[[#This Row],[Unfollows]])/Table4[[#This Row],[Total_Followers]]</f>
        <v>7.8900723125911749E-3</v>
      </c>
      <c r="J120" s="14">
        <f>Table4[[#This Row],[New_Followers]]-Table4[[#This Row],[Unfollows]]</f>
        <v>1006</v>
      </c>
    </row>
    <row r="121" spans="1:10" x14ac:dyDescent="0.3">
      <c r="A121" s="9">
        <v>45719</v>
      </c>
      <c r="B121" s="8" t="s">
        <v>29</v>
      </c>
      <c r="C121" s="14">
        <v>665</v>
      </c>
      <c r="D121" s="14">
        <v>187</v>
      </c>
      <c r="E121" s="14">
        <v>274567</v>
      </c>
      <c r="F121" s="30">
        <v>7.39</v>
      </c>
      <c r="G121" s="10">
        <v>22428</v>
      </c>
      <c r="H121">
        <f t="shared" si="1"/>
        <v>10</v>
      </c>
      <c r="I121" s="18">
        <f>(Table4[[#This Row],[New_Followers]]-Table4[[#This Row],[Unfollows]])/Table4[[#This Row],[Total_Followers]]</f>
        <v>1.7409229805475531E-3</v>
      </c>
      <c r="J121" s="14">
        <f>Table4[[#This Row],[New_Followers]]-Table4[[#This Row],[Unfollows]]</f>
        <v>478</v>
      </c>
    </row>
    <row r="122" spans="1:10" x14ac:dyDescent="0.3">
      <c r="A122" s="9">
        <v>45726</v>
      </c>
      <c r="B122" s="8" t="s">
        <v>14</v>
      </c>
      <c r="C122" s="14">
        <v>631</v>
      </c>
      <c r="D122" s="14">
        <v>86</v>
      </c>
      <c r="E122" s="14">
        <v>295090</v>
      </c>
      <c r="F122" s="30">
        <v>7.89</v>
      </c>
      <c r="G122" s="10">
        <v>11911</v>
      </c>
      <c r="H122">
        <f t="shared" si="1"/>
        <v>11</v>
      </c>
      <c r="I122" s="18">
        <f>(Table4[[#This Row],[New_Followers]]-Table4[[#This Row],[Unfollows]])/Table4[[#This Row],[Total_Followers]]</f>
        <v>1.8468941678809856E-3</v>
      </c>
      <c r="J122" s="14">
        <f>Table4[[#This Row],[New_Followers]]-Table4[[#This Row],[Unfollows]]</f>
        <v>545</v>
      </c>
    </row>
    <row r="123" spans="1:10" x14ac:dyDescent="0.3">
      <c r="A123" s="9">
        <v>45726</v>
      </c>
      <c r="B123" s="8" t="s">
        <v>23</v>
      </c>
      <c r="C123" s="14">
        <v>1159</v>
      </c>
      <c r="D123" s="14">
        <v>154</v>
      </c>
      <c r="E123" s="14">
        <v>194994</v>
      </c>
      <c r="F123" s="30">
        <v>6.39</v>
      </c>
      <c r="G123" s="10">
        <v>21900</v>
      </c>
      <c r="H123">
        <f t="shared" si="1"/>
        <v>11</v>
      </c>
      <c r="I123" s="18">
        <f>(Table4[[#This Row],[New_Followers]]-Table4[[#This Row],[Unfollows]])/Table4[[#This Row],[Total_Followers]]</f>
        <v>5.1540047386073422E-3</v>
      </c>
      <c r="J123" s="14">
        <f>Table4[[#This Row],[New_Followers]]-Table4[[#This Row],[Unfollows]]</f>
        <v>1005</v>
      </c>
    </row>
    <row r="124" spans="1:10" x14ac:dyDescent="0.3">
      <c r="A124" s="9">
        <v>45726</v>
      </c>
      <c r="B124" s="8" t="s">
        <v>29</v>
      </c>
      <c r="C124" s="14">
        <v>950</v>
      </c>
      <c r="D124" s="14">
        <v>185</v>
      </c>
      <c r="E124" s="14">
        <v>340750</v>
      </c>
      <c r="F124" s="30">
        <v>6.77</v>
      </c>
      <c r="G124" s="10">
        <v>25542</v>
      </c>
      <c r="H124">
        <f t="shared" si="1"/>
        <v>11</v>
      </c>
      <c r="I124" s="18">
        <f>(Table4[[#This Row],[New_Followers]]-Table4[[#This Row],[Unfollows]])/Table4[[#This Row],[Total_Followers]]</f>
        <v>2.2450476889214967E-3</v>
      </c>
      <c r="J124" s="14">
        <f>Table4[[#This Row],[New_Followers]]-Table4[[#This Row],[Unfollows]]</f>
        <v>765</v>
      </c>
    </row>
    <row r="125" spans="1:10" x14ac:dyDescent="0.3">
      <c r="A125" s="9">
        <v>45733</v>
      </c>
      <c r="B125" s="8" t="s">
        <v>14</v>
      </c>
      <c r="C125" s="14">
        <v>693</v>
      </c>
      <c r="D125" s="14">
        <v>129</v>
      </c>
      <c r="E125" s="14">
        <v>296031</v>
      </c>
      <c r="F125" s="30">
        <v>3.41</v>
      </c>
      <c r="G125" s="10">
        <v>7140</v>
      </c>
      <c r="H125">
        <f t="shared" si="1"/>
        <v>12</v>
      </c>
      <c r="I125" s="18">
        <f>(Table4[[#This Row],[New_Followers]]-Table4[[#This Row],[Unfollows]])/Table4[[#This Row],[Total_Followers]]</f>
        <v>1.9052058737091724E-3</v>
      </c>
      <c r="J125" s="14">
        <f>Table4[[#This Row],[New_Followers]]-Table4[[#This Row],[Unfollows]]</f>
        <v>564</v>
      </c>
    </row>
    <row r="126" spans="1:10" x14ac:dyDescent="0.3">
      <c r="A126" s="9">
        <v>45733</v>
      </c>
      <c r="B126" s="8" t="s">
        <v>23</v>
      </c>
      <c r="C126" s="14">
        <v>576</v>
      </c>
      <c r="D126" s="14">
        <v>80</v>
      </c>
      <c r="E126" s="14">
        <v>345688</v>
      </c>
      <c r="F126" s="30">
        <v>4.1100000000000003</v>
      </c>
      <c r="G126" s="10">
        <v>20474</v>
      </c>
      <c r="H126">
        <f t="shared" si="1"/>
        <v>12</v>
      </c>
      <c r="I126" s="18">
        <f>(Table4[[#This Row],[New_Followers]]-Table4[[#This Row],[Unfollows]])/Table4[[#This Row],[Total_Followers]]</f>
        <v>1.4348198375413667E-3</v>
      </c>
      <c r="J126" s="14">
        <f>Table4[[#This Row],[New_Followers]]-Table4[[#This Row],[Unfollows]]</f>
        <v>496</v>
      </c>
    </row>
    <row r="127" spans="1:10" x14ac:dyDescent="0.3">
      <c r="A127" s="9">
        <v>45733</v>
      </c>
      <c r="B127" s="8" t="s">
        <v>29</v>
      </c>
      <c r="C127" s="14">
        <v>1274</v>
      </c>
      <c r="D127" s="14">
        <v>146</v>
      </c>
      <c r="E127" s="14">
        <v>263488</v>
      </c>
      <c r="F127" s="30">
        <v>9.58</v>
      </c>
      <c r="G127" s="10">
        <v>8698</v>
      </c>
      <c r="H127">
        <f t="shared" si="1"/>
        <v>12</v>
      </c>
      <c r="I127" s="18">
        <f>(Table4[[#This Row],[New_Followers]]-Table4[[#This Row],[Unfollows]])/Table4[[#This Row],[Total_Followers]]</f>
        <v>4.2810298761233904E-3</v>
      </c>
      <c r="J127" s="14">
        <f>Table4[[#This Row],[New_Followers]]-Table4[[#This Row],[Unfollows]]</f>
        <v>1128</v>
      </c>
    </row>
    <row r="128" spans="1:10" x14ac:dyDescent="0.3">
      <c r="A128" s="9">
        <v>45740</v>
      </c>
      <c r="B128" s="8" t="s">
        <v>14</v>
      </c>
      <c r="C128" s="14">
        <v>818</v>
      </c>
      <c r="D128" s="14">
        <v>253</v>
      </c>
      <c r="E128" s="14">
        <v>184911</v>
      </c>
      <c r="F128" s="30">
        <v>3.39</v>
      </c>
      <c r="G128" s="10">
        <v>10402</v>
      </c>
      <c r="H128">
        <f t="shared" si="1"/>
        <v>13</v>
      </c>
      <c r="I128" s="18">
        <f>(Table4[[#This Row],[New_Followers]]-Table4[[#This Row],[Unfollows]])/Table4[[#This Row],[Total_Followers]]</f>
        <v>3.0555240088474996E-3</v>
      </c>
      <c r="J128" s="14">
        <f>Table4[[#This Row],[New_Followers]]-Table4[[#This Row],[Unfollows]]</f>
        <v>565</v>
      </c>
    </row>
    <row r="129" spans="1:10" x14ac:dyDescent="0.3">
      <c r="A129" s="9">
        <v>45740</v>
      </c>
      <c r="B129" s="8" t="s">
        <v>23</v>
      </c>
      <c r="C129" s="14">
        <v>975</v>
      </c>
      <c r="D129" s="14">
        <v>162</v>
      </c>
      <c r="E129" s="14">
        <v>124497</v>
      </c>
      <c r="F129" s="30">
        <v>9.58</v>
      </c>
      <c r="G129" s="10">
        <v>26618</v>
      </c>
      <c r="H129">
        <f t="shared" si="1"/>
        <v>13</v>
      </c>
      <c r="I129" s="18">
        <f>(Table4[[#This Row],[New_Followers]]-Table4[[#This Row],[Unfollows]])/Table4[[#This Row],[Total_Followers]]</f>
        <v>6.5302778380201933E-3</v>
      </c>
      <c r="J129" s="14">
        <f>Table4[[#This Row],[New_Followers]]-Table4[[#This Row],[Unfollows]]</f>
        <v>813</v>
      </c>
    </row>
    <row r="130" spans="1:10" x14ac:dyDescent="0.3">
      <c r="A130" s="9">
        <v>45740</v>
      </c>
      <c r="B130" s="8" t="s">
        <v>29</v>
      </c>
      <c r="C130" s="14">
        <v>1398</v>
      </c>
      <c r="D130" s="14">
        <v>97</v>
      </c>
      <c r="E130" s="14">
        <v>397607</v>
      </c>
      <c r="F130" s="30">
        <v>5.09</v>
      </c>
      <c r="G130" s="10">
        <v>7975</v>
      </c>
      <c r="H130">
        <f t="shared" si="1"/>
        <v>13</v>
      </c>
      <c r="I130" s="18">
        <f>(Table4[[#This Row],[New_Followers]]-Table4[[#This Row],[Unfollows]])/Table4[[#This Row],[Total_Followers]]</f>
        <v>3.2720751898231166E-3</v>
      </c>
      <c r="J130" s="14">
        <f>Table4[[#This Row],[New_Followers]]-Table4[[#This Row],[Unfollows]]</f>
        <v>1301</v>
      </c>
    </row>
    <row r="131" spans="1:10" x14ac:dyDescent="0.3">
      <c r="A131" s="9">
        <v>45747</v>
      </c>
      <c r="B131" s="8" t="s">
        <v>14</v>
      </c>
      <c r="C131" s="14">
        <v>591</v>
      </c>
      <c r="D131" s="14">
        <v>155</v>
      </c>
      <c r="E131" s="14">
        <v>138521</v>
      </c>
      <c r="F131" s="30">
        <v>7.85</v>
      </c>
      <c r="G131" s="10">
        <v>19054</v>
      </c>
      <c r="H131">
        <f t="shared" ref="H131:H194" si="2">WEEKNUM(A131)</f>
        <v>14</v>
      </c>
      <c r="I131" s="18">
        <f>(Table4[[#This Row],[New_Followers]]-Table4[[#This Row],[Unfollows]])/Table4[[#This Row],[Total_Followers]]</f>
        <v>3.1475371965261584E-3</v>
      </c>
      <c r="J131" s="14">
        <f>Table4[[#This Row],[New_Followers]]-Table4[[#This Row],[Unfollows]]</f>
        <v>436</v>
      </c>
    </row>
    <row r="132" spans="1:10" x14ac:dyDescent="0.3">
      <c r="A132" s="9">
        <v>45747</v>
      </c>
      <c r="B132" s="8" t="s">
        <v>23</v>
      </c>
      <c r="C132" s="14">
        <v>1232</v>
      </c>
      <c r="D132" s="14">
        <v>254</v>
      </c>
      <c r="E132" s="14">
        <v>107718</v>
      </c>
      <c r="F132" s="30">
        <v>9.7100000000000009</v>
      </c>
      <c r="G132" s="10">
        <v>13740</v>
      </c>
      <c r="H132">
        <f t="shared" si="2"/>
        <v>14</v>
      </c>
      <c r="I132" s="18">
        <f>(Table4[[#This Row],[New_Followers]]-Table4[[#This Row],[Unfollows]])/Table4[[#This Row],[Total_Followers]]</f>
        <v>9.0792625187990864E-3</v>
      </c>
      <c r="J132" s="14">
        <f>Table4[[#This Row],[New_Followers]]-Table4[[#This Row],[Unfollows]]</f>
        <v>978</v>
      </c>
    </row>
    <row r="133" spans="1:10" x14ac:dyDescent="0.3">
      <c r="A133" s="9">
        <v>45747</v>
      </c>
      <c r="B133" s="8" t="s">
        <v>29</v>
      </c>
      <c r="C133" s="14">
        <v>1425</v>
      </c>
      <c r="D133" s="14">
        <v>58</v>
      </c>
      <c r="E133" s="14">
        <v>202234</v>
      </c>
      <c r="F133" s="30">
        <v>6.67</v>
      </c>
      <c r="G133" s="10">
        <v>18442</v>
      </c>
      <c r="H133">
        <f t="shared" si="2"/>
        <v>14</v>
      </c>
      <c r="I133" s="18">
        <f>(Table4[[#This Row],[New_Followers]]-Table4[[#This Row],[Unfollows]])/Table4[[#This Row],[Total_Followers]]</f>
        <v>6.7594964249334932E-3</v>
      </c>
      <c r="J133" s="14">
        <f>Table4[[#This Row],[New_Followers]]-Table4[[#This Row],[Unfollows]]</f>
        <v>1367</v>
      </c>
    </row>
    <row r="134" spans="1:10" x14ac:dyDescent="0.3">
      <c r="A134" s="9">
        <v>45754</v>
      </c>
      <c r="B134" s="8" t="s">
        <v>14</v>
      </c>
      <c r="C134" s="14">
        <v>1417</v>
      </c>
      <c r="D134" s="14">
        <v>80</v>
      </c>
      <c r="E134" s="14">
        <v>340987</v>
      </c>
      <c r="F134" s="30">
        <v>6.13</v>
      </c>
      <c r="G134" s="10">
        <v>10104</v>
      </c>
      <c r="H134">
        <f t="shared" si="2"/>
        <v>15</v>
      </c>
      <c r="I134" s="18">
        <f>(Table4[[#This Row],[New_Followers]]-Table4[[#This Row],[Unfollows]])/Table4[[#This Row],[Total_Followers]]</f>
        <v>3.9209705941868752E-3</v>
      </c>
      <c r="J134" s="14">
        <f>Table4[[#This Row],[New_Followers]]-Table4[[#This Row],[Unfollows]]</f>
        <v>1337</v>
      </c>
    </row>
    <row r="135" spans="1:10" x14ac:dyDescent="0.3">
      <c r="A135" s="9">
        <v>45754</v>
      </c>
      <c r="B135" s="8" t="s">
        <v>23</v>
      </c>
      <c r="C135" s="14">
        <v>1222</v>
      </c>
      <c r="D135" s="14">
        <v>208</v>
      </c>
      <c r="E135" s="14">
        <v>340098</v>
      </c>
      <c r="F135" s="30">
        <v>7.34</v>
      </c>
      <c r="G135" s="10">
        <v>21771</v>
      </c>
      <c r="H135">
        <f t="shared" si="2"/>
        <v>15</v>
      </c>
      <c r="I135" s="18">
        <f>(Table4[[#This Row],[New_Followers]]-Table4[[#This Row],[Unfollows]])/Table4[[#This Row],[Total_Followers]]</f>
        <v>2.9814935695005556E-3</v>
      </c>
      <c r="J135" s="14">
        <f>Table4[[#This Row],[New_Followers]]-Table4[[#This Row],[Unfollows]]</f>
        <v>1014</v>
      </c>
    </row>
    <row r="136" spans="1:10" x14ac:dyDescent="0.3">
      <c r="A136" s="9">
        <v>45754</v>
      </c>
      <c r="B136" s="8" t="s">
        <v>29</v>
      </c>
      <c r="C136" s="14">
        <v>1071</v>
      </c>
      <c r="D136" s="14">
        <v>131</v>
      </c>
      <c r="E136" s="14">
        <v>254727</v>
      </c>
      <c r="F136" s="30">
        <v>6.87</v>
      </c>
      <c r="G136" s="10">
        <v>22191</v>
      </c>
      <c r="H136">
        <f t="shared" si="2"/>
        <v>15</v>
      </c>
      <c r="I136" s="18">
        <f>(Table4[[#This Row],[New_Followers]]-Table4[[#This Row],[Unfollows]])/Table4[[#This Row],[Total_Followers]]</f>
        <v>3.6902252215116576E-3</v>
      </c>
      <c r="J136" s="14">
        <f>Table4[[#This Row],[New_Followers]]-Table4[[#This Row],[Unfollows]]</f>
        <v>940</v>
      </c>
    </row>
    <row r="137" spans="1:10" x14ac:dyDescent="0.3">
      <c r="A137" s="9">
        <v>45761</v>
      </c>
      <c r="B137" s="8" t="s">
        <v>14</v>
      </c>
      <c r="C137" s="14">
        <v>772</v>
      </c>
      <c r="D137" s="14">
        <v>82</v>
      </c>
      <c r="E137" s="14">
        <v>345659</v>
      </c>
      <c r="F137" s="30">
        <v>3.52</v>
      </c>
      <c r="G137" s="10">
        <v>27753</v>
      </c>
      <c r="H137">
        <f t="shared" si="2"/>
        <v>16</v>
      </c>
      <c r="I137" s="18">
        <f>(Table4[[#This Row],[New_Followers]]-Table4[[#This Row],[Unfollows]])/Table4[[#This Row],[Total_Followers]]</f>
        <v>1.9961869935398759E-3</v>
      </c>
      <c r="J137" s="14">
        <f>Table4[[#This Row],[New_Followers]]-Table4[[#This Row],[Unfollows]]</f>
        <v>690</v>
      </c>
    </row>
    <row r="138" spans="1:10" x14ac:dyDescent="0.3">
      <c r="A138" s="9">
        <v>45761</v>
      </c>
      <c r="B138" s="8" t="s">
        <v>23</v>
      </c>
      <c r="C138" s="14">
        <v>1472</v>
      </c>
      <c r="D138" s="14">
        <v>137</v>
      </c>
      <c r="E138" s="14">
        <v>213950</v>
      </c>
      <c r="F138" s="30">
        <v>6.96</v>
      </c>
      <c r="G138" s="10">
        <v>23736</v>
      </c>
      <c r="H138">
        <f t="shared" si="2"/>
        <v>16</v>
      </c>
      <c r="I138" s="18">
        <f>(Table4[[#This Row],[New_Followers]]-Table4[[#This Row],[Unfollows]])/Table4[[#This Row],[Total_Followers]]</f>
        <v>6.2397756485160086E-3</v>
      </c>
      <c r="J138" s="14">
        <f>Table4[[#This Row],[New_Followers]]-Table4[[#This Row],[Unfollows]]</f>
        <v>1335</v>
      </c>
    </row>
    <row r="139" spans="1:10" x14ac:dyDescent="0.3">
      <c r="A139" s="9">
        <v>45761</v>
      </c>
      <c r="B139" s="8" t="s">
        <v>29</v>
      </c>
      <c r="C139" s="14">
        <v>1472</v>
      </c>
      <c r="D139" s="14">
        <v>281</v>
      </c>
      <c r="E139" s="14">
        <v>258115</v>
      </c>
      <c r="F139" s="30">
        <v>7.23</v>
      </c>
      <c r="G139" s="10">
        <v>27393</v>
      </c>
      <c r="H139">
        <f t="shared" si="2"/>
        <v>16</v>
      </c>
      <c r="I139" s="18">
        <f>(Table4[[#This Row],[New_Followers]]-Table4[[#This Row],[Unfollows]])/Table4[[#This Row],[Total_Followers]]</f>
        <v>4.6142223427541986E-3</v>
      </c>
      <c r="J139" s="14">
        <f>Table4[[#This Row],[New_Followers]]-Table4[[#This Row],[Unfollows]]</f>
        <v>1191</v>
      </c>
    </row>
    <row r="140" spans="1:10" x14ac:dyDescent="0.3">
      <c r="A140" s="9">
        <v>45768</v>
      </c>
      <c r="B140" s="8" t="s">
        <v>14</v>
      </c>
      <c r="C140" s="14">
        <v>585</v>
      </c>
      <c r="D140" s="14">
        <v>232</v>
      </c>
      <c r="E140" s="14">
        <v>321258</v>
      </c>
      <c r="F140" s="30">
        <v>7.42</v>
      </c>
      <c r="G140" s="10">
        <v>10343</v>
      </c>
      <c r="H140">
        <f t="shared" si="2"/>
        <v>17</v>
      </c>
      <c r="I140" s="18">
        <f>(Table4[[#This Row],[New_Followers]]-Table4[[#This Row],[Unfollows]])/Table4[[#This Row],[Total_Followers]]</f>
        <v>1.0988053215795403E-3</v>
      </c>
      <c r="J140" s="14">
        <f>Table4[[#This Row],[New_Followers]]-Table4[[#This Row],[Unfollows]]</f>
        <v>353</v>
      </c>
    </row>
    <row r="141" spans="1:10" x14ac:dyDescent="0.3">
      <c r="A141" s="9">
        <v>45768</v>
      </c>
      <c r="B141" s="8" t="s">
        <v>23</v>
      </c>
      <c r="C141" s="14">
        <v>747</v>
      </c>
      <c r="D141" s="14">
        <v>261</v>
      </c>
      <c r="E141" s="14">
        <v>338650</v>
      </c>
      <c r="F141" s="30">
        <v>7.73</v>
      </c>
      <c r="G141" s="10">
        <v>25259</v>
      </c>
      <c r="H141">
        <f t="shared" si="2"/>
        <v>17</v>
      </c>
      <c r="I141" s="18">
        <f>(Table4[[#This Row],[New_Followers]]-Table4[[#This Row],[Unfollows]])/Table4[[#This Row],[Total_Followers]]</f>
        <v>1.4351099955706482E-3</v>
      </c>
      <c r="J141" s="14">
        <f>Table4[[#This Row],[New_Followers]]-Table4[[#This Row],[Unfollows]]</f>
        <v>486</v>
      </c>
    </row>
    <row r="142" spans="1:10" x14ac:dyDescent="0.3">
      <c r="A142" s="9">
        <v>45768</v>
      </c>
      <c r="B142" s="8" t="s">
        <v>29</v>
      </c>
      <c r="C142" s="14">
        <v>1113</v>
      </c>
      <c r="D142" s="14">
        <v>224</v>
      </c>
      <c r="E142" s="14">
        <v>272989</v>
      </c>
      <c r="F142" s="30">
        <v>5.13</v>
      </c>
      <c r="G142" s="10">
        <v>24827</v>
      </c>
      <c r="H142">
        <f t="shared" si="2"/>
        <v>17</v>
      </c>
      <c r="I142" s="18">
        <f>(Table4[[#This Row],[New_Followers]]-Table4[[#This Row],[Unfollows]])/Table4[[#This Row],[Total_Followers]]</f>
        <v>3.2565414723670183E-3</v>
      </c>
      <c r="J142" s="14">
        <f>Table4[[#This Row],[New_Followers]]-Table4[[#This Row],[Unfollows]]</f>
        <v>889</v>
      </c>
    </row>
    <row r="143" spans="1:10" x14ac:dyDescent="0.3">
      <c r="A143" s="9">
        <v>45775</v>
      </c>
      <c r="B143" s="8" t="s">
        <v>14</v>
      </c>
      <c r="C143" s="14">
        <v>1100</v>
      </c>
      <c r="D143" s="14">
        <v>117</v>
      </c>
      <c r="E143" s="14">
        <v>260204</v>
      </c>
      <c r="F143" s="30">
        <v>4.4000000000000004</v>
      </c>
      <c r="G143" s="10">
        <v>11908</v>
      </c>
      <c r="H143">
        <f t="shared" si="2"/>
        <v>18</v>
      </c>
      <c r="I143" s="18">
        <f>(Table4[[#This Row],[New_Followers]]-Table4[[#This Row],[Unfollows]])/Table4[[#This Row],[Total_Followers]]</f>
        <v>3.7778051067623862E-3</v>
      </c>
      <c r="J143" s="14">
        <f>Table4[[#This Row],[New_Followers]]-Table4[[#This Row],[Unfollows]]</f>
        <v>983</v>
      </c>
    </row>
    <row r="144" spans="1:10" x14ac:dyDescent="0.3">
      <c r="A144" s="9">
        <v>45775</v>
      </c>
      <c r="B144" s="8" t="s">
        <v>23</v>
      </c>
      <c r="C144" s="14">
        <v>751</v>
      </c>
      <c r="D144" s="14">
        <v>170</v>
      </c>
      <c r="E144" s="14">
        <v>283278</v>
      </c>
      <c r="F144" s="30">
        <v>3.49</v>
      </c>
      <c r="G144" s="10">
        <v>11005</v>
      </c>
      <c r="H144">
        <f t="shared" si="2"/>
        <v>18</v>
      </c>
      <c r="I144" s="18">
        <f>(Table4[[#This Row],[New_Followers]]-Table4[[#This Row],[Unfollows]])/Table4[[#This Row],[Total_Followers]]</f>
        <v>2.0509887813384732E-3</v>
      </c>
      <c r="J144" s="14">
        <f>Table4[[#This Row],[New_Followers]]-Table4[[#This Row],[Unfollows]]</f>
        <v>581</v>
      </c>
    </row>
    <row r="145" spans="1:10" x14ac:dyDescent="0.3">
      <c r="A145" s="9">
        <v>45775</v>
      </c>
      <c r="B145" s="8" t="s">
        <v>29</v>
      </c>
      <c r="C145" s="14">
        <v>864</v>
      </c>
      <c r="D145" s="14">
        <v>50</v>
      </c>
      <c r="E145" s="14">
        <v>277445</v>
      </c>
      <c r="F145" s="30">
        <v>3.57</v>
      </c>
      <c r="G145" s="10">
        <v>26333</v>
      </c>
      <c r="H145">
        <f t="shared" si="2"/>
        <v>18</v>
      </c>
      <c r="I145" s="18">
        <f>(Table4[[#This Row],[New_Followers]]-Table4[[#This Row],[Unfollows]])/Table4[[#This Row],[Total_Followers]]</f>
        <v>2.9339148299662998E-3</v>
      </c>
      <c r="J145" s="14">
        <f>Table4[[#This Row],[New_Followers]]-Table4[[#This Row],[Unfollows]]</f>
        <v>814</v>
      </c>
    </row>
    <row r="146" spans="1:10" x14ac:dyDescent="0.3">
      <c r="A146" s="9">
        <v>45782</v>
      </c>
      <c r="B146" s="8" t="s">
        <v>14</v>
      </c>
      <c r="C146" s="14">
        <v>1146</v>
      </c>
      <c r="D146" s="14">
        <v>227</v>
      </c>
      <c r="E146" s="14">
        <v>353781</v>
      </c>
      <c r="F146" s="30">
        <v>6.41</v>
      </c>
      <c r="G146" s="10">
        <v>5495</v>
      </c>
      <c r="H146">
        <f t="shared" si="2"/>
        <v>19</v>
      </c>
      <c r="I146" s="18">
        <f>(Table4[[#This Row],[New_Followers]]-Table4[[#This Row],[Unfollows]])/Table4[[#This Row],[Total_Followers]]</f>
        <v>2.5976522198761379E-3</v>
      </c>
      <c r="J146" s="14">
        <f>Table4[[#This Row],[New_Followers]]-Table4[[#This Row],[Unfollows]]</f>
        <v>919</v>
      </c>
    </row>
    <row r="147" spans="1:10" x14ac:dyDescent="0.3">
      <c r="A147" s="9">
        <v>45782</v>
      </c>
      <c r="B147" s="8" t="s">
        <v>23</v>
      </c>
      <c r="C147" s="14">
        <v>883</v>
      </c>
      <c r="D147" s="14">
        <v>207</v>
      </c>
      <c r="E147" s="14">
        <v>265019</v>
      </c>
      <c r="F147" s="30">
        <v>6.04</v>
      </c>
      <c r="G147" s="10">
        <v>15655</v>
      </c>
      <c r="H147">
        <f t="shared" si="2"/>
        <v>19</v>
      </c>
      <c r="I147" s="18">
        <f>(Table4[[#This Row],[New_Followers]]-Table4[[#This Row],[Unfollows]])/Table4[[#This Row],[Total_Followers]]</f>
        <v>2.5507605115104954E-3</v>
      </c>
      <c r="J147" s="14">
        <f>Table4[[#This Row],[New_Followers]]-Table4[[#This Row],[Unfollows]]</f>
        <v>676</v>
      </c>
    </row>
    <row r="148" spans="1:10" x14ac:dyDescent="0.3">
      <c r="A148" s="9">
        <v>45782</v>
      </c>
      <c r="B148" s="8" t="s">
        <v>29</v>
      </c>
      <c r="C148" s="14">
        <v>622</v>
      </c>
      <c r="D148" s="14">
        <v>163</v>
      </c>
      <c r="E148" s="14">
        <v>231925</v>
      </c>
      <c r="F148" s="30">
        <v>9.18</v>
      </c>
      <c r="G148" s="10">
        <v>13763</v>
      </c>
      <c r="H148">
        <f t="shared" si="2"/>
        <v>19</v>
      </c>
      <c r="I148" s="18">
        <f>(Table4[[#This Row],[New_Followers]]-Table4[[#This Row],[Unfollows]])/Table4[[#This Row],[Total_Followers]]</f>
        <v>1.9790880672631238E-3</v>
      </c>
      <c r="J148" s="14">
        <f>Table4[[#This Row],[New_Followers]]-Table4[[#This Row],[Unfollows]]</f>
        <v>459</v>
      </c>
    </row>
    <row r="149" spans="1:10" x14ac:dyDescent="0.3">
      <c r="A149" s="9">
        <v>45789</v>
      </c>
      <c r="B149" s="8" t="s">
        <v>14</v>
      </c>
      <c r="C149" s="14">
        <v>837</v>
      </c>
      <c r="D149" s="14">
        <v>261</v>
      </c>
      <c r="E149" s="14">
        <v>366149</v>
      </c>
      <c r="F149" s="30">
        <v>6.54</v>
      </c>
      <c r="G149" s="10">
        <v>26073</v>
      </c>
      <c r="H149">
        <f t="shared" si="2"/>
        <v>20</v>
      </c>
      <c r="I149" s="18">
        <f>(Table4[[#This Row],[New_Followers]]-Table4[[#This Row],[Unfollows]])/Table4[[#This Row],[Total_Followers]]</f>
        <v>1.5731300645365684E-3</v>
      </c>
      <c r="J149" s="14">
        <f>Table4[[#This Row],[New_Followers]]-Table4[[#This Row],[Unfollows]]</f>
        <v>576</v>
      </c>
    </row>
    <row r="150" spans="1:10" x14ac:dyDescent="0.3">
      <c r="A150" s="9">
        <v>45789</v>
      </c>
      <c r="B150" s="8" t="s">
        <v>23</v>
      </c>
      <c r="C150" s="14">
        <v>544</v>
      </c>
      <c r="D150" s="14">
        <v>97</v>
      </c>
      <c r="E150" s="14">
        <v>168375</v>
      </c>
      <c r="F150" s="30">
        <v>8.66</v>
      </c>
      <c r="G150" s="10">
        <v>12774</v>
      </c>
      <c r="H150">
        <f t="shared" si="2"/>
        <v>20</v>
      </c>
      <c r="I150" s="18">
        <f>(Table4[[#This Row],[New_Followers]]-Table4[[#This Row],[Unfollows]])/Table4[[#This Row],[Total_Followers]]</f>
        <v>2.6547884187082403E-3</v>
      </c>
      <c r="J150" s="14">
        <f>Table4[[#This Row],[New_Followers]]-Table4[[#This Row],[Unfollows]]</f>
        <v>447</v>
      </c>
    </row>
    <row r="151" spans="1:10" x14ac:dyDescent="0.3">
      <c r="A151" s="9">
        <v>45789</v>
      </c>
      <c r="B151" s="8" t="s">
        <v>29</v>
      </c>
      <c r="C151" s="14">
        <v>624</v>
      </c>
      <c r="D151" s="14">
        <v>247</v>
      </c>
      <c r="E151" s="14">
        <v>252763</v>
      </c>
      <c r="F151" s="30">
        <v>3.89</v>
      </c>
      <c r="G151" s="10">
        <v>19000</v>
      </c>
      <c r="H151">
        <f t="shared" si="2"/>
        <v>20</v>
      </c>
      <c r="I151" s="18">
        <f>(Table4[[#This Row],[New_Followers]]-Table4[[#This Row],[Unfollows]])/Table4[[#This Row],[Total_Followers]]</f>
        <v>1.4915157677349929E-3</v>
      </c>
      <c r="J151" s="14">
        <f>Table4[[#This Row],[New_Followers]]-Table4[[#This Row],[Unfollows]]</f>
        <v>377</v>
      </c>
    </row>
    <row r="152" spans="1:10" x14ac:dyDescent="0.3">
      <c r="A152" s="9">
        <v>45796</v>
      </c>
      <c r="B152" s="8" t="s">
        <v>14</v>
      </c>
      <c r="C152" s="14">
        <v>1073</v>
      </c>
      <c r="D152" s="14">
        <v>141</v>
      </c>
      <c r="E152" s="14">
        <v>118393</v>
      </c>
      <c r="F152" s="30">
        <v>7.95</v>
      </c>
      <c r="G152" s="10">
        <v>14051</v>
      </c>
      <c r="H152">
        <f t="shared" si="2"/>
        <v>21</v>
      </c>
      <c r="I152" s="18">
        <f>(Table4[[#This Row],[New_Followers]]-Table4[[#This Row],[Unfollows]])/Table4[[#This Row],[Total_Followers]]</f>
        <v>7.872087032172511E-3</v>
      </c>
      <c r="J152" s="14">
        <f>Table4[[#This Row],[New_Followers]]-Table4[[#This Row],[Unfollows]]</f>
        <v>932</v>
      </c>
    </row>
    <row r="153" spans="1:10" x14ac:dyDescent="0.3">
      <c r="A153" s="9">
        <v>45796</v>
      </c>
      <c r="B153" s="8" t="s">
        <v>23</v>
      </c>
      <c r="C153" s="14">
        <v>1430</v>
      </c>
      <c r="D153" s="14">
        <v>74</v>
      </c>
      <c r="E153" s="14">
        <v>327012</v>
      </c>
      <c r="F153" s="30">
        <v>6.66</v>
      </c>
      <c r="G153" s="10">
        <v>27782</v>
      </c>
      <c r="H153">
        <f t="shared" si="2"/>
        <v>21</v>
      </c>
      <c r="I153" s="18">
        <f>(Table4[[#This Row],[New_Followers]]-Table4[[#This Row],[Unfollows]])/Table4[[#This Row],[Total_Followers]]</f>
        <v>4.1466368206671319E-3</v>
      </c>
      <c r="J153" s="14">
        <f>Table4[[#This Row],[New_Followers]]-Table4[[#This Row],[Unfollows]]</f>
        <v>1356</v>
      </c>
    </row>
    <row r="154" spans="1:10" x14ac:dyDescent="0.3">
      <c r="A154" s="9">
        <v>45796</v>
      </c>
      <c r="B154" s="8" t="s">
        <v>29</v>
      </c>
      <c r="C154" s="14">
        <v>1358</v>
      </c>
      <c r="D154" s="14">
        <v>77</v>
      </c>
      <c r="E154" s="14">
        <v>169688</v>
      </c>
      <c r="F154" s="30">
        <v>5.25</v>
      </c>
      <c r="G154" s="10">
        <v>7859</v>
      </c>
      <c r="H154">
        <f t="shared" si="2"/>
        <v>21</v>
      </c>
      <c r="I154" s="18">
        <f>(Table4[[#This Row],[New_Followers]]-Table4[[#This Row],[Unfollows]])/Table4[[#This Row],[Total_Followers]]</f>
        <v>7.5491490264485411E-3</v>
      </c>
      <c r="J154" s="14">
        <f>Table4[[#This Row],[New_Followers]]-Table4[[#This Row],[Unfollows]]</f>
        <v>1281</v>
      </c>
    </row>
    <row r="155" spans="1:10" x14ac:dyDescent="0.3">
      <c r="A155" s="9">
        <v>45803</v>
      </c>
      <c r="B155" s="8" t="s">
        <v>14</v>
      </c>
      <c r="C155" s="14">
        <v>1242</v>
      </c>
      <c r="D155" s="14">
        <v>201</v>
      </c>
      <c r="E155" s="14">
        <v>271935</v>
      </c>
      <c r="F155" s="30">
        <v>5.07</v>
      </c>
      <c r="G155" s="10">
        <v>15773</v>
      </c>
      <c r="H155">
        <f t="shared" si="2"/>
        <v>22</v>
      </c>
      <c r="I155" s="18">
        <f>(Table4[[#This Row],[New_Followers]]-Table4[[#This Row],[Unfollows]])/Table4[[#This Row],[Total_Followers]]</f>
        <v>3.8281206906062111E-3</v>
      </c>
      <c r="J155" s="14">
        <f>Table4[[#This Row],[New_Followers]]-Table4[[#This Row],[Unfollows]]</f>
        <v>1041</v>
      </c>
    </row>
    <row r="156" spans="1:10" x14ac:dyDescent="0.3">
      <c r="A156" s="9">
        <v>45803</v>
      </c>
      <c r="B156" s="8" t="s">
        <v>23</v>
      </c>
      <c r="C156" s="14">
        <v>1389</v>
      </c>
      <c r="D156" s="14">
        <v>205</v>
      </c>
      <c r="E156" s="14">
        <v>315981</v>
      </c>
      <c r="F156" s="30">
        <v>7.62</v>
      </c>
      <c r="G156" s="10">
        <v>20595</v>
      </c>
      <c r="H156">
        <f t="shared" si="2"/>
        <v>22</v>
      </c>
      <c r="I156" s="18">
        <f>(Table4[[#This Row],[New_Followers]]-Table4[[#This Row],[Unfollows]])/Table4[[#This Row],[Total_Followers]]</f>
        <v>3.7470607409939207E-3</v>
      </c>
      <c r="J156" s="14">
        <f>Table4[[#This Row],[New_Followers]]-Table4[[#This Row],[Unfollows]]</f>
        <v>1184</v>
      </c>
    </row>
    <row r="157" spans="1:10" x14ac:dyDescent="0.3">
      <c r="A157" s="9">
        <v>45803</v>
      </c>
      <c r="B157" s="8" t="s">
        <v>29</v>
      </c>
      <c r="C157" s="14">
        <v>826</v>
      </c>
      <c r="D157" s="14">
        <v>142</v>
      </c>
      <c r="E157" s="14">
        <v>341016</v>
      </c>
      <c r="F157" s="30">
        <v>7.44</v>
      </c>
      <c r="G157" s="10">
        <v>12031</v>
      </c>
      <c r="H157">
        <f t="shared" si="2"/>
        <v>22</v>
      </c>
      <c r="I157" s="18">
        <f>(Table4[[#This Row],[New_Followers]]-Table4[[#This Row],[Unfollows]])/Table4[[#This Row],[Total_Followers]]</f>
        <v>2.005770990217468E-3</v>
      </c>
      <c r="J157" s="14">
        <f>Table4[[#This Row],[New_Followers]]-Table4[[#This Row],[Unfollows]]</f>
        <v>684</v>
      </c>
    </row>
    <row r="158" spans="1:10" x14ac:dyDescent="0.3">
      <c r="A158" s="9">
        <v>45810</v>
      </c>
      <c r="B158" s="8" t="s">
        <v>14</v>
      </c>
      <c r="C158" s="14">
        <v>618</v>
      </c>
      <c r="D158" s="14">
        <v>264</v>
      </c>
      <c r="E158" s="14">
        <v>285164</v>
      </c>
      <c r="F158" s="30">
        <v>4.8600000000000003</v>
      </c>
      <c r="G158" s="10">
        <v>15128</v>
      </c>
      <c r="H158">
        <f t="shared" si="2"/>
        <v>23</v>
      </c>
      <c r="I158" s="18">
        <f>(Table4[[#This Row],[New_Followers]]-Table4[[#This Row],[Unfollows]])/Table4[[#This Row],[Total_Followers]]</f>
        <v>1.2413909189098204E-3</v>
      </c>
      <c r="J158" s="14">
        <f>Table4[[#This Row],[New_Followers]]-Table4[[#This Row],[Unfollows]]</f>
        <v>354</v>
      </c>
    </row>
    <row r="159" spans="1:10" x14ac:dyDescent="0.3">
      <c r="A159" s="9">
        <v>45810</v>
      </c>
      <c r="B159" s="8" t="s">
        <v>23</v>
      </c>
      <c r="C159" s="14">
        <v>1419</v>
      </c>
      <c r="D159" s="14">
        <v>293</v>
      </c>
      <c r="E159" s="14">
        <v>116632</v>
      </c>
      <c r="F159" s="30">
        <v>6.93</v>
      </c>
      <c r="G159" s="10">
        <v>11826</v>
      </c>
      <c r="H159">
        <f t="shared" si="2"/>
        <v>23</v>
      </c>
      <c r="I159" s="18">
        <f>(Table4[[#This Row],[New_Followers]]-Table4[[#This Row],[Unfollows]])/Table4[[#This Row],[Total_Followers]]</f>
        <v>9.6542972769051369E-3</v>
      </c>
      <c r="J159" s="14">
        <f>Table4[[#This Row],[New_Followers]]-Table4[[#This Row],[Unfollows]]</f>
        <v>1126</v>
      </c>
    </row>
    <row r="160" spans="1:10" x14ac:dyDescent="0.3">
      <c r="A160" s="9">
        <v>45810</v>
      </c>
      <c r="B160" s="8" t="s">
        <v>29</v>
      </c>
      <c r="C160" s="14">
        <v>637</v>
      </c>
      <c r="D160" s="14">
        <v>68</v>
      </c>
      <c r="E160" s="14">
        <v>115694</v>
      </c>
      <c r="F160" s="30">
        <v>9.99</v>
      </c>
      <c r="G160" s="10">
        <v>12562</v>
      </c>
      <c r="H160">
        <f t="shared" si="2"/>
        <v>23</v>
      </c>
      <c r="I160" s="18">
        <f>(Table4[[#This Row],[New_Followers]]-Table4[[#This Row],[Unfollows]])/Table4[[#This Row],[Total_Followers]]</f>
        <v>4.9181461441388493E-3</v>
      </c>
      <c r="J160" s="14">
        <f>Table4[[#This Row],[New_Followers]]-Table4[[#This Row],[Unfollows]]</f>
        <v>569</v>
      </c>
    </row>
    <row r="161" spans="1:10" x14ac:dyDescent="0.3">
      <c r="A161" s="9">
        <v>45817</v>
      </c>
      <c r="B161" s="8" t="s">
        <v>14</v>
      </c>
      <c r="C161" s="14">
        <v>917</v>
      </c>
      <c r="D161" s="14">
        <v>187</v>
      </c>
      <c r="E161" s="14">
        <v>64444</v>
      </c>
      <c r="F161" s="30">
        <v>5.22</v>
      </c>
      <c r="G161" s="10">
        <v>13013</v>
      </c>
      <c r="H161">
        <f t="shared" si="2"/>
        <v>24</v>
      </c>
      <c r="I161" s="18">
        <f>(Table4[[#This Row],[New_Followers]]-Table4[[#This Row],[Unfollows]])/Table4[[#This Row],[Total_Followers]]</f>
        <v>1.1327664328719508E-2</v>
      </c>
      <c r="J161" s="14">
        <f>Table4[[#This Row],[New_Followers]]-Table4[[#This Row],[Unfollows]]</f>
        <v>730</v>
      </c>
    </row>
    <row r="162" spans="1:10" x14ac:dyDescent="0.3">
      <c r="A162" s="9">
        <v>45817</v>
      </c>
      <c r="B162" s="8" t="s">
        <v>23</v>
      </c>
      <c r="C162" s="14">
        <v>810</v>
      </c>
      <c r="D162" s="14">
        <v>232</v>
      </c>
      <c r="E162" s="14">
        <v>362559</v>
      </c>
      <c r="F162" s="30">
        <v>5.17</v>
      </c>
      <c r="G162" s="10">
        <v>12937</v>
      </c>
      <c r="H162">
        <f t="shared" si="2"/>
        <v>24</v>
      </c>
      <c r="I162" s="18">
        <f>(Table4[[#This Row],[New_Followers]]-Table4[[#This Row],[Unfollows]])/Table4[[#This Row],[Total_Followers]]</f>
        <v>1.5942232850377457E-3</v>
      </c>
      <c r="J162" s="14">
        <f>Table4[[#This Row],[New_Followers]]-Table4[[#This Row],[Unfollows]]</f>
        <v>578</v>
      </c>
    </row>
    <row r="163" spans="1:10" x14ac:dyDescent="0.3">
      <c r="A163" s="9">
        <v>45817</v>
      </c>
      <c r="B163" s="8" t="s">
        <v>29</v>
      </c>
      <c r="C163" s="14">
        <v>1183</v>
      </c>
      <c r="D163" s="14">
        <v>248</v>
      </c>
      <c r="E163" s="14">
        <v>226881</v>
      </c>
      <c r="F163" s="30">
        <v>5.17</v>
      </c>
      <c r="G163" s="10">
        <v>14534</v>
      </c>
      <c r="H163">
        <f t="shared" si="2"/>
        <v>24</v>
      </c>
      <c r="I163" s="18">
        <f>(Table4[[#This Row],[New_Followers]]-Table4[[#This Row],[Unfollows]])/Table4[[#This Row],[Total_Followers]]</f>
        <v>4.1211031333606603E-3</v>
      </c>
      <c r="J163" s="14">
        <f>Table4[[#This Row],[New_Followers]]-Table4[[#This Row],[Unfollows]]</f>
        <v>935</v>
      </c>
    </row>
    <row r="164" spans="1:10" x14ac:dyDescent="0.3">
      <c r="A164" s="9">
        <v>45824</v>
      </c>
      <c r="B164" s="8" t="s">
        <v>14</v>
      </c>
      <c r="C164" s="14">
        <v>765</v>
      </c>
      <c r="D164" s="14">
        <v>67</v>
      </c>
      <c r="E164" s="14">
        <v>283537</v>
      </c>
      <c r="F164" s="30">
        <v>6.18</v>
      </c>
      <c r="G164" s="10">
        <v>8182</v>
      </c>
      <c r="H164">
        <f t="shared" si="2"/>
        <v>25</v>
      </c>
      <c r="I164" s="18">
        <f>(Table4[[#This Row],[New_Followers]]-Table4[[#This Row],[Unfollows]])/Table4[[#This Row],[Total_Followers]]</f>
        <v>2.4617598408673293E-3</v>
      </c>
      <c r="J164" s="14">
        <f>Table4[[#This Row],[New_Followers]]-Table4[[#This Row],[Unfollows]]</f>
        <v>698</v>
      </c>
    </row>
    <row r="165" spans="1:10" x14ac:dyDescent="0.3">
      <c r="A165" s="9">
        <v>45824</v>
      </c>
      <c r="B165" s="8" t="s">
        <v>23</v>
      </c>
      <c r="C165" s="14">
        <v>540</v>
      </c>
      <c r="D165" s="14">
        <v>215</v>
      </c>
      <c r="E165" s="14">
        <v>62837</v>
      </c>
      <c r="F165" s="30">
        <v>5.3</v>
      </c>
      <c r="G165" s="10">
        <v>10615</v>
      </c>
      <c r="H165">
        <f t="shared" si="2"/>
        <v>25</v>
      </c>
      <c r="I165" s="18">
        <f>(Table4[[#This Row],[New_Followers]]-Table4[[#This Row],[Unfollows]])/Table4[[#This Row],[Total_Followers]]</f>
        <v>5.1721119722456512E-3</v>
      </c>
      <c r="J165" s="14">
        <f>Table4[[#This Row],[New_Followers]]-Table4[[#This Row],[Unfollows]]</f>
        <v>325</v>
      </c>
    </row>
    <row r="166" spans="1:10" x14ac:dyDescent="0.3">
      <c r="A166" s="9">
        <v>45824</v>
      </c>
      <c r="B166" s="8" t="s">
        <v>29</v>
      </c>
      <c r="C166" s="14">
        <v>1145</v>
      </c>
      <c r="D166" s="14">
        <v>151</v>
      </c>
      <c r="E166" s="14">
        <v>182759</v>
      </c>
      <c r="F166" s="30">
        <v>5.99</v>
      </c>
      <c r="G166" s="10">
        <v>20109</v>
      </c>
      <c r="H166">
        <f t="shared" si="2"/>
        <v>25</v>
      </c>
      <c r="I166" s="18">
        <f>(Table4[[#This Row],[New_Followers]]-Table4[[#This Row],[Unfollows]])/Table4[[#This Row],[Total_Followers]]</f>
        <v>5.4388566363352828E-3</v>
      </c>
      <c r="J166" s="14">
        <f>Table4[[#This Row],[New_Followers]]-Table4[[#This Row],[Unfollows]]</f>
        <v>994</v>
      </c>
    </row>
    <row r="167" spans="1:10" x14ac:dyDescent="0.3">
      <c r="A167" s="9">
        <v>45831</v>
      </c>
      <c r="B167" s="8" t="s">
        <v>14</v>
      </c>
      <c r="C167" s="14">
        <v>564</v>
      </c>
      <c r="D167" s="14">
        <v>244</v>
      </c>
      <c r="E167" s="14">
        <v>279405</v>
      </c>
      <c r="F167" s="30">
        <v>8.43</v>
      </c>
      <c r="G167" s="10">
        <v>26024</v>
      </c>
      <c r="H167">
        <f t="shared" si="2"/>
        <v>26</v>
      </c>
      <c r="I167" s="18">
        <f>(Table4[[#This Row],[New_Followers]]-Table4[[#This Row],[Unfollows]])/Table4[[#This Row],[Total_Followers]]</f>
        <v>1.1452908859898713E-3</v>
      </c>
      <c r="J167" s="14">
        <f>Table4[[#This Row],[New_Followers]]-Table4[[#This Row],[Unfollows]]</f>
        <v>320</v>
      </c>
    </row>
    <row r="168" spans="1:10" x14ac:dyDescent="0.3">
      <c r="A168" s="9">
        <v>45831</v>
      </c>
      <c r="B168" s="8" t="s">
        <v>23</v>
      </c>
      <c r="C168" s="14">
        <v>668</v>
      </c>
      <c r="D168" s="14">
        <v>124</v>
      </c>
      <c r="E168" s="14">
        <v>257485</v>
      </c>
      <c r="F168" s="30">
        <v>7.55</v>
      </c>
      <c r="G168" s="10">
        <v>26730</v>
      </c>
      <c r="H168">
        <f t="shared" si="2"/>
        <v>26</v>
      </c>
      <c r="I168" s="18">
        <f>(Table4[[#This Row],[New_Followers]]-Table4[[#This Row],[Unfollows]])/Table4[[#This Row],[Total_Followers]]</f>
        <v>2.1127444317144686E-3</v>
      </c>
      <c r="J168" s="14">
        <f>Table4[[#This Row],[New_Followers]]-Table4[[#This Row],[Unfollows]]</f>
        <v>544</v>
      </c>
    </row>
    <row r="169" spans="1:10" x14ac:dyDescent="0.3">
      <c r="A169" s="9">
        <v>45831</v>
      </c>
      <c r="B169" s="8" t="s">
        <v>29</v>
      </c>
      <c r="C169" s="14">
        <v>761</v>
      </c>
      <c r="D169" s="14">
        <v>241</v>
      </c>
      <c r="E169" s="14">
        <v>154977</v>
      </c>
      <c r="F169" s="30">
        <v>5.63</v>
      </c>
      <c r="G169" s="10">
        <v>10563</v>
      </c>
      <c r="H169">
        <f t="shared" si="2"/>
        <v>26</v>
      </c>
      <c r="I169" s="18">
        <f>(Table4[[#This Row],[New_Followers]]-Table4[[#This Row],[Unfollows]])/Table4[[#This Row],[Total_Followers]]</f>
        <v>3.3553365983339462E-3</v>
      </c>
      <c r="J169" s="14">
        <f>Table4[[#This Row],[New_Followers]]-Table4[[#This Row],[Unfollows]]</f>
        <v>520</v>
      </c>
    </row>
    <row r="170" spans="1:10" x14ac:dyDescent="0.3">
      <c r="A170" s="9">
        <v>45838</v>
      </c>
      <c r="B170" s="8" t="s">
        <v>14</v>
      </c>
      <c r="C170" s="14">
        <v>593</v>
      </c>
      <c r="D170" s="14">
        <v>108</v>
      </c>
      <c r="E170" s="14">
        <v>216500</v>
      </c>
      <c r="F170" s="30">
        <v>4.71</v>
      </c>
      <c r="G170" s="10">
        <v>27575</v>
      </c>
      <c r="H170">
        <f t="shared" si="2"/>
        <v>27</v>
      </c>
      <c r="I170" s="18">
        <f>(Table4[[#This Row],[New_Followers]]-Table4[[#This Row],[Unfollows]])/Table4[[#This Row],[Total_Followers]]</f>
        <v>2.2401847575057735E-3</v>
      </c>
      <c r="J170" s="14">
        <f>Table4[[#This Row],[New_Followers]]-Table4[[#This Row],[Unfollows]]</f>
        <v>485</v>
      </c>
    </row>
    <row r="171" spans="1:10" x14ac:dyDescent="0.3">
      <c r="A171" s="9">
        <v>45838</v>
      </c>
      <c r="B171" s="8" t="s">
        <v>23</v>
      </c>
      <c r="C171" s="14">
        <v>1349</v>
      </c>
      <c r="D171" s="14">
        <v>115</v>
      </c>
      <c r="E171" s="14">
        <v>102102</v>
      </c>
      <c r="F171" s="30">
        <v>5.28</v>
      </c>
      <c r="G171" s="10">
        <v>14479</v>
      </c>
      <c r="H171">
        <f t="shared" si="2"/>
        <v>27</v>
      </c>
      <c r="I171" s="18">
        <f>(Table4[[#This Row],[New_Followers]]-Table4[[#This Row],[Unfollows]])/Table4[[#This Row],[Total_Followers]]</f>
        <v>1.208595326242385E-2</v>
      </c>
      <c r="J171" s="14">
        <f>Table4[[#This Row],[New_Followers]]-Table4[[#This Row],[Unfollows]]</f>
        <v>1234</v>
      </c>
    </row>
    <row r="172" spans="1:10" x14ac:dyDescent="0.3">
      <c r="A172" s="9">
        <v>45838</v>
      </c>
      <c r="B172" s="8" t="s">
        <v>29</v>
      </c>
      <c r="C172" s="14">
        <v>693</v>
      </c>
      <c r="D172" s="14">
        <v>97</v>
      </c>
      <c r="E172" s="14">
        <v>92025</v>
      </c>
      <c r="F172" s="30">
        <v>5.95</v>
      </c>
      <c r="G172" s="10">
        <v>15915</v>
      </c>
      <c r="H172">
        <f t="shared" si="2"/>
        <v>27</v>
      </c>
      <c r="I172" s="18">
        <f>(Table4[[#This Row],[New_Followers]]-Table4[[#This Row],[Unfollows]])/Table4[[#This Row],[Total_Followers]]</f>
        <v>6.4765009508285796E-3</v>
      </c>
      <c r="J172" s="14">
        <f>Table4[[#This Row],[New_Followers]]-Table4[[#This Row],[Unfollows]]</f>
        <v>596</v>
      </c>
    </row>
    <row r="173" spans="1:10" x14ac:dyDescent="0.3">
      <c r="A173" s="9">
        <v>45845</v>
      </c>
      <c r="B173" s="8" t="s">
        <v>14</v>
      </c>
      <c r="C173" s="14">
        <v>974</v>
      </c>
      <c r="D173" s="14">
        <v>143</v>
      </c>
      <c r="E173" s="14">
        <v>247965</v>
      </c>
      <c r="F173" s="30">
        <v>9.98</v>
      </c>
      <c r="G173" s="10">
        <v>12767</v>
      </c>
      <c r="H173">
        <f t="shared" si="2"/>
        <v>28</v>
      </c>
      <c r="I173" s="18">
        <f>(Table4[[#This Row],[New_Followers]]-Table4[[#This Row],[Unfollows]])/Table4[[#This Row],[Total_Followers]]</f>
        <v>3.3512794144334888E-3</v>
      </c>
      <c r="J173" s="14">
        <f>Table4[[#This Row],[New_Followers]]-Table4[[#This Row],[Unfollows]]</f>
        <v>831</v>
      </c>
    </row>
    <row r="174" spans="1:10" x14ac:dyDescent="0.3">
      <c r="A174" s="9">
        <v>45845</v>
      </c>
      <c r="B174" s="8" t="s">
        <v>23</v>
      </c>
      <c r="C174" s="14">
        <v>1155</v>
      </c>
      <c r="D174" s="14">
        <v>122</v>
      </c>
      <c r="E174" s="14">
        <v>387352</v>
      </c>
      <c r="F174" s="30">
        <v>9.93</v>
      </c>
      <c r="G174" s="10">
        <v>12170</v>
      </c>
      <c r="H174">
        <f t="shared" si="2"/>
        <v>28</v>
      </c>
      <c r="I174" s="18">
        <f>(Table4[[#This Row],[New_Followers]]-Table4[[#This Row],[Unfollows]])/Table4[[#This Row],[Total_Followers]]</f>
        <v>2.6668250067122413E-3</v>
      </c>
      <c r="J174" s="14">
        <f>Table4[[#This Row],[New_Followers]]-Table4[[#This Row],[Unfollows]]</f>
        <v>1033</v>
      </c>
    </row>
    <row r="175" spans="1:10" x14ac:dyDescent="0.3">
      <c r="A175" s="9">
        <v>45845</v>
      </c>
      <c r="B175" s="8" t="s">
        <v>29</v>
      </c>
      <c r="C175" s="14">
        <v>1051</v>
      </c>
      <c r="D175" s="14">
        <v>246</v>
      </c>
      <c r="E175" s="14">
        <v>253985</v>
      </c>
      <c r="F175" s="30">
        <v>9.08</v>
      </c>
      <c r="G175" s="10">
        <v>7245</v>
      </c>
      <c r="H175">
        <f t="shared" si="2"/>
        <v>28</v>
      </c>
      <c r="I175" s="18">
        <f>(Table4[[#This Row],[New_Followers]]-Table4[[#This Row],[Unfollows]])/Table4[[#This Row],[Total_Followers]]</f>
        <v>3.1694785125105812E-3</v>
      </c>
      <c r="J175" s="14">
        <f>Table4[[#This Row],[New_Followers]]-Table4[[#This Row],[Unfollows]]</f>
        <v>805</v>
      </c>
    </row>
    <row r="176" spans="1:10" x14ac:dyDescent="0.3">
      <c r="A176" s="9">
        <v>45852</v>
      </c>
      <c r="B176" s="8" t="s">
        <v>14</v>
      </c>
      <c r="C176" s="14">
        <v>1457</v>
      </c>
      <c r="D176" s="14">
        <v>183</v>
      </c>
      <c r="E176" s="14">
        <v>129640</v>
      </c>
      <c r="F176" s="30">
        <v>7.98</v>
      </c>
      <c r="G176" s="10">
        <v>12985</v>
      </c>
      <c r="H176">
        <f t="shared" si="2"/>
        <v>29</v>
      </c>
      <c r="I176" s="18">
        <f>(Table4[[#This Row],[New_Followers]]-Table4[[#This Row],[Unfollows]])/Table4[[#This Row],[Total_Followers]]</f>
        <v>9.827213822894169E-3</v>
      </c>
      <c r="J176" s="14">
        <f>Table4[[#This Row],[New_Followers]]-Table4[[#This Row],[Unfollows]]</f>
        <v>1274</v>
      </c>
    </row>
    <row r="177" spans="1:10" x14ac:dyDescent="0.3">
      <c r="A177" s="9">
        <v>45852</v>
      </c>
      <c r="B177" s="8" t="s">
        <v>23</v>
      </c>
      <c r="C177" s="14">
        <v>670</v>
      </c>
      <c r="D177" s="14">
        <v>242</v>
      </c>
      <c r="E177" s="14">
        <v>281913</v>
      </c>
      <c r="F177" s="30">
        <v>9.6199999999999992</v>
      </c>
      <c r="G177" s="10">
        <v>16377</v>
      </c>
      <c r="H177">
        <f t="shared" si="2"/>
        <v>29</v>
      </c>
      <c r="I177" s="18">
        <f>(Table4[[#This Row],[New_Followers]]-Table4[[#This Row],[Unfollows]])/Table4[[#This Row],[Total_Followers]]</f>
        <v>1.5181988769584942E-3</v>
      </c>
      <c r="J177" s="14">
        <f>Table4[[#This Row],[New_Followers]]-Table4[[#This Row],[Unfollows]]</f>
        <v>428</v>
      </c>
    </row>
    <row r="178" spans="1:10" x14ac:dyDescent="0.3">
      <c r="A178" s="9">
        <v>45852</v>
      </c>
      <c r="B178" s="8" t="s">
        <v>29</v>
      </c>
      <c r="C178" s="14">
        <v>1111</v>
      </c>
      <c r="D178" s="14">
        <v>159</v>
      </c>
      <c r="E178" s="14">
        <v>360770</v>
      </c>
      <c r="F178" s="30">
        <v>8.7100000000000009</v>
      </c>
      <c r="G178" s="10">
        <v>11453</v>
      </c>
      <c r="H178">
        <f t="shared" si="2"/>
        <v>29</v>
      </c>
      <c r="I178" s="18">
        <f>(Table4[[#This Row],[New_Followers]]-Table4[[#This Row],[Unfollows]])/Table4[[#This Row],[Total_Followers]]</f>
        <v>2.6388003437092886E-3</v>
      </c>
      <c r="J178" s="14">
        <f>Table4[[#This Row],[New_Followers]]-Table4[[#This Row],[Unfollows]]</f>
        <v>952</v>
      </c>
    </row>
    <row r="179" spans="1:10" x14ac:dyDescent="0.3">
      <c r="A179" s="9">
        <v>45859</v>
      </c>
      <c r="B179" s="8" t="s">
        <v>14</v>
      </c>
      <c r="C179" s="14">
        <v>1197</v>
      </c>
      <c r="D179" s="14">
        <v>246</v>
      </c>
      <c r="E179" s="14">
        <v>127273</v>
      </c>
      <c r="F179" s="30">
        <v>6.69</v>
      </c>
      <c r="G179" s="10">
        <v>12323</v>
      </c>
      <c r="H179">
        <f t="shared" si="2"/>
        <v>30</v>
      </c>
      <c r="I179" s="18">
        <f>(Table4[[#This Row],[New_Followers]]-Table4[[#This Row],[Unfollows]])/Table4[[#This Row],[Total_Followers]]</f>
        <v>7.4721268454424738E-3</v>
      </c>
      <c r="J179" s="14">
        <f>Table4[[#This Row],[New_Followers]]-Table4[[#This Row],[Unfollows]]</f>
        <v>951</v>
      </c>
    </row>
    <row r="180" spans="1:10" x14ac:dyDescent="0.3">
      <c r="A180" s="9">
        <v>45859</v>
      </c>
      <c r="B180" s="8" t="s">
        <v>23</v>
      </c>
      <c r="C180" s="14">
        <v>754</v>
      </c>
      <c r="D180" s="14">
        <v>150</v>
      </c>
      <c r="E180" s="14">
        <v>189622</v>
      </c>
      <c r="F180" s="30">
        <v>4.25</v>
      </c>
      <c r="G180" s="10">
        <v>11911</v>
      </c>
      <c r="H180">
        <f t="shared" si="2"/>
        <v>30</v>
      </c>
      <c r="I180" s="18">
        <f>(Table4[[#This Row],[New_Followers]]-Table4[[#This Row],[Unfollows]])/Table4[[#This Row],[Total_Followers]]</f>
        <v>3.1852844079273504E-3</v>
      </c>
      <c r="J180" s="14">
        <f>Table4[[#This Row],[New_Followers]]-Table4[[#This Row],[Unfollows]]</f>
        <v>604</v>
      </c>
    </row>
    <row r="181" spans="1:10" x14ac:dyDescent="0.3">
      <c r="A181" s="9">
        <v>45859</v>
      </c>
      <c r="B181" s="8" t="s">
        <v>29</v>
      </c>
      <c r="C181" s="14">
        <v>1246</v>
      </c>
      <c r="D181" s="14">
        <v>107</v>
      </c>
      <c r="E181" s="14">
        <v>350949</v>
      </c>
      <c r="F181" s="30">
        <v>4.9800000000000004</v>
      </c>
      <c r="G181" s="10">
        <v>27809</v>
      </c>
      <c r="H181">
        <f t="shared" si="2"/>
        <v>30</v>
      </c>
      <c r="I181" s="18">
        <f>(Table4[[#This Row],[New_Followers]]-Table4[[#This Row],[Unfollows]])/Table4[[#This Row],[Total_Followers]]</f>
        <v>3.2454858113287115E-3</v>
      </c>
      <c r="J181" s="14">
        <f>Table4[[#This Row],[New_Followers]]-Table4[[#This Row],[Unfollows]]</f>
        <v>1139</v>
      </c>
    </row>
    <row r="182" spans="1:10" x14ac:dyDescent="0.3">
      <c r="A182" s="9">
        <v>45866</v>
      </c>
      <c r="B182" s="8" t="s">
        <v>14</v>
      </c>
      <c r="C182" s="14">
        <v>780</v>
      </c>
      <c r="D182" s="14">
        <v>213</v>
      </c>
      <c r="E182" s="14">
        <v>121431</v>
      </c>
      <c r="F182" s="30">
        <v>4.97</v>
      </c>
      <c r="G182" s="10">
        <v>21464</v>
      </c>
      <c r="H182">
        <f t="shared" si="2"/>
        <v>31</v>
      </c>
      <c r="I182" s="18">
        <f>(Table4[[#This Row],[New_Followers]]-Table4[[#This Row],[Unfollows]])/Table4[[#This Row],[Total_Followers]]</f>
        <v>4.669318378338316E-3</v>
      </c>
      <c r="J182" s="14">
        <f>Table4[[#This Row],[New_Followers]]-Table4[[#This Row],[Unfollows]]</f>
        <v>567</v>
      </c>
    </row>
    <row r="183" spans="1:10" x14ac:dyDescent="0.3">
      <c r="A183" s="9">
        <v>45866</v>
      </c>
      <c r="B183" s="8" t="s">
        <v>23</v>
      </c>
      <c r="C183" s="14">
        <v>1425</v>
      </c>
      <c r="D183" s="14">
        <v>143</v>
      </c>
      <c r="E183" s="14">
        <v>116742</v>
      </c>
      <c r="F183" s="30">
        <v>3.71</v>
      </c>
      <c r="G183" s="10">
        <v>27126</v>
      </c>
      <c r="H183">
        <f t="shared" si="2"/>
        <v>31</v>
      </c>
      <c r="I183" s="18">
        <f>(Table4[[#This Row],[New_Followers]]-Table4[[#This Row],[Unfollows]])/Table4[[#This Row],[Total_Followers]]</f>
        <v>1.0981480529715098E-2</v>
      </c>
      <c r="J183" s="14">
        <f>Table4[[#This Row],[New_Followers]]-Table4[[#This Row],[Unfollows]]</f>
        <v>1282</v>
      </c>
    </row>
    <row r="184" spans="1:10" x14ac:dyDescent="0.3">
      <c r="A184" s="9">
        <v>45866</v>
      </c>
      <c r="B184" s="8" t="s">
        <v>29</v>
      </c>
      <c r="C184" s="14">
        <v>1490</v>
      </c>
      <c r="D184" s="14">
        <v>103</v>
      </c>
      <c r="E184" s="14">
        <v>81184</v>
      </c>
      <c r="F184" s="30">
        <v>7.79</v>
      </c>
      <c r="G184" s="10">
        <v>10681</v>
      </c>
      <c r="H184">
        <f t="shared" si="2"/>
        <v>31</v>
      </c>
      <c r="I184" s="18">
        <f>(Table4[[#This Row],[New_Followers]]-Table4[[#This Row],[Unfollows]])/Table4[[#This Row],[Total_Followers]]</f>
        <v>1.7084647221127316E-2</v>
      </c>
      <c r="J184" s="14">
        <f>Table4[[#This Row],[New_Followers]]-Table4[[#This Row],[Unfollows]]</f>
        <v>1387</v>
      </c>
    </row>
    <row r="185" spans="1:10" x14ac:dyDescent="0.3">
      <c r="A185" s="9">
        <v>45873</v>
      </c>
      <c r="B185" s="8" t="s">
        <v>14</v>
      </c>
      <c r="C185" s="14">
        <v>949</v>
      </c>
      <c r="D185" s="14">
        <v>282</v>
      </c>
      <c r="E185" s="14">
        <v>87126</v>
      </c>
      <c r="F185" s="30">
        <v>4.96</v>
      </c>
      <c r="G185" s="10">
        <v>5413</v>
      </c>
      <c r="H185">
        <f t="shared" si="2"/>
        <v>32</v>
      </c>
      <c r="I185" s="18">
        <f>(Table4[[#This Row],[New_Followers]]-Table4[[#This Row],[Unfollows]])/Table4[[#This Row],[Total_Followers]]</f>
        <v>7.6555792759910937E-3</v>
      </c>
      <c r="J185" s="14">
        <f>Table4[[#This Row],[New_Followers]]-Table4[[#This Row],[Unfollows]]</f>
        <v>667</v>
      </c>
    </row>
    <row r="186" spans="1:10" x14ac:dyDescent="0.3">
      <c r="A186" s="9">
        <v>45873</v>
      </c>
      <c r="B186" s="8" t="s">
        <v>23</v>
      </c>
      <c r="C186" s="14">
        <v>640</v>
      </c>
      <c r="D186" s="14">
        <v>141</v>
      </c>
      <c r="E186" s="14">
        <v>267546</v>
      </c>
      <c r="F186" s="30">
        <v>8.58</v>
      </c>
      <c r="G186" s="10">
        <v>25058</v>
      </c>
      <c r="H186">
        <f t="shared" si="2"/>
        <v>32</v>
      </c>
      <c r="I186" s="18">
        <f>(Table4[[#This Row],[New_Followers]]-Table4[[#This Row],[Unfollows]])/Table4[[#This Row],[Total_Followers]]</f>
        <v>1.8650998332996943E-3</v>
      </c>
      <c r="J186" s="14">
        <f>Table4[[#This Row],[New_Followers]]-Table4[[#This Row],[Unfollows]]</f>
        <v>499</v>
      </c>
    </row>
    <row r="187" spans="1:10" x14ac:dyDescent="0.3">
      <c r="A187" s="9">
        <v>45873</v>
      </c>
      <c r="B187" s="8" t="s">
        <v>29</v>
      </c>
      <c r="C187" s="14">
        <v>616</v>
      </c>
      <c r="D187" s="14">
        <v>93</v>
      </c>
      <c r="E187" s="14">
        <v>133082</v>
      </c>
      <c r="F187" s="30">
        <v>8.51</v>
      </c>
      <c r="G187" s="10">
        <v>18303</v>
      </c>
      <c r="H187">
        <f t="shared" si="2"/>
        <v>32</v>
      </c>
      <c r="I187" s="18">
        <f>(Table4[[#This Row],[New_Followers]]-Table4[[#This Row],[Unfollows]])/Table4[[#This Row],[Total_Followers]]</f>
        <v>3.9299078763469142E-3</v>
      </c>
      <c r="J187" s="14">
        <f>Table4[[#This Row],[New_Followers]]-Table4[[#This Row],[Unfollows]]</f>
        <v>523</v>
      </c>
    </row>
    <row r="188" spans="1:10" x14ac:dyDescent="0.3">
      <c r="A188" s="9">
        <v>45880</v>
      </c>
      <c r="B188" s="8" t="s">
        <v>14</v>
      </c>
      <c r="C188" s="14">
        <v>1080</v>
      </c>
      <c r="D188" s="14">
        <v>184</v>
      </c>
      <c r="E188" s="14">
        <v>340557</v>
      </c>
      <c r="F188" s="30">
        <v>5.41</v>
      </c>
      <c r="G188" s="10">
        <v>5526</v>
      </c>
      <c r="H188">
        <f t="shared" si="2"/>
        <v>33</v>
      </c>
      <c r="I188" s="18">
        <f>(Table4[[#This Row],[New_Followers]]-Table4[[#This Row],[Unfollows]])/Table4[[#This Row],[Total_Followers]]</f>
        <v>2.6309839468870114E-3</v>
      </c>
      <c r="J188" s="14">
        <f>Table4[[#This Row],[New_Followers]]-Table4[[#This Row],[Unfollows]]</f>
        <v>896</v>
      </c>
    </row>
    <row r="189" spans="1:10" x14ac:dyDescent="0.3">
      <c r="A189" s="9">
        <v>45880</v>
      </c>
      <c r="B189" s="8" t="s">
        <v>23</v>
      </c>
      <c r="C189" s="14">
        <v>938</v>
      </c>
      <c r="D189" s="14">
        <v>236</v>
      </c>
      <c r="E189" s="14">
        <v>116472</v>
      </c>
      <c r="F189" s="30">
        <v>8.7200000000000006</v>
      </c>
      <c r="G189" s="10">
        <v>17460</v>
      </c>
      <c r="H189">
        <f t="shared" si="2"/>
        <v>33</v>
      </c>
      <c r="I189" s="18">
        <f>(Table4[[#This Row],[New_Followers]]-Table4[[#This Row],[Unfollows]])/Table4[[#This Row],[Total_Followers]]</f>
        <v>6.0271996703070265E-3</v>
      </c>
      <c r="J189" s="14">
        <f>Table4[[#This Row],[New_Followers]]-Table4[[#This Row],[Unfollows]]</f>
        <v>702</v>
      </c>
    </row>
    <row r="190" spans="1:10" x14ac:dyDescent="0.3">
      <c r="A190" s="9">
        <v>45880</v>
      </c>
      <c r="B190" s="8" t="s">
        <v>29</v>
      </c>
      <c r="C190" s="14">
        <v>1007</v>
      </c>
      <c r="D190" s="14">
        <v>258</v>
      </c>
      <c r="E190" s="14">
        <v>113412</v>
      </c>
      <c r="F190" s="30">
        <v>7.71</v>
      </c>
      <c r="G190" s="10">
        <v>14475</v>
      </c>
      <c r="H190">
        <f t="shared" si="2"/>
        <v>33</v>
      </c>
      <c r="I190" s="18">
        <f>(Table4[[#This Row],[New_Followers]]-Table4[[#This Row],[Unfollows]])/Table4[[#This Row],[Total_Followers]]</f>
        <v>6.6042394102916796E-3</v>
      </c>
      <c r="J190" s="14">
        <f>Table4[[#This Row],[New_Followers]]-Table4[[#This Row],[Unfollows]]</f>
        <v>749</v>
      </c>
    </row>
    <row r="191" spans="1:10" x14ac:dyDescent="0.3">
      <c r="A191" s="9">
        <v>45887</v>
      </c>
      <c r="B191" s="8" t="s">
        <v>14</v>
      </c>
      <c r="C191" s="14">
        <v>541</v>
      </c>
      <c r="D191" s="14">
        <v>208</v>
      </c>
      <c r="E191" s="14">
        <v>157547</v>
      </c>
      <c r="F191" s="30">
        <v>8.35</v>
      </c>
      <c r="G191" s="10">
        <v>20162</v>
      </c>
      <c r="H191">
        <f t="shared" si="2"/>
        <v>34</v>
      </c>
      <c r="I191" s="18">
        <f>(Table4[[#This Row],[New_Followers]]-Table4[[#This Row],[Unfollows]])/Table4[[#This Row],[Total_Followers]]</f>
        <v>2.1136549728017671E-3</v>
      </c>
      <c r="J191" s="14">
        <f>Table4[[#This Row],[New_Followers]]-Table4[[#This Row],[Unfollows]]</f>
        <v>333</v>
      </c>
    </row>
    <row r="192" spans="1:10" x14ac:dyDescent="0.3">
      <c r="A192" s="9">
        <v>45887</v>
      </c>
      <c r="B192" s="8" t="s">
        <v>23</v>
      </c>
      <c r="C192" s="14">
        <v>745</v>
      </c>
      <c r="D192" s="14">
        <v>98</v>
      </c>
      <c r="E192" s="14">
        <v>354816</v>
      </c>
      <c r="F192" s="30">
        <v>4.03</v>
      </c>
      <c r="G192" s="10">
        <v>17103</v>
      </c>
      <c r="H192">
        <f t="shared" si="2"/>
        <v>34</v>
      </c>
      <c r="I192" s="18">
        <f>(Table4[[#This Row],[New_Followers]]-Table4[[#This Row],[Unfollows]])/Table4[[#This Row],[Total_Followers]]</f>
        <v>1.823480339105339E-3</v>
      </c>
      <c r="J192" s="14">
        <f>Table4[[#This Row],[New_Followers]]-Table4[[#This Row],[Unfollows]]</f>
        <v>647</v>
      </c>
    </row>
    <row r="193" spans="1:10" x14ac:dyDescent="0.3">
      <c r="A193" s="9">
        <v>45887</v>
      </c>
      <c r="B193" s="8" t="s">
        <v>29</v>
      </c>
      <c r="C193" s="14">
        <v>936</v>
      </c>
      <c r="D193" s="14">
        <v>97</v>
      </c>
      <c r="E193" s="14">
        <v>151799</v>
      </c>
      <c r="F193" s="30">
        <v>9.3699999999999992</v>
      </c>
      <c r="G193" s="10">
        <v>15461</v>
      </c>
      <c r="H193">
        <f t="shared" si="2"/>
        <v>34</v>
      </c>
      <c r="I193" s="18">
        <f>(Table4[[#This Row],[New_Followers]]-Table4[[#This Row],[Unfollows]])/Table4[[#This Row],[Total_Followers]]</f>
        <v>5.5270456327116777E-3</v>
      </c>
      <c r="J193" s="14">
        <f>Table4[[#This Row],[New_Followers]]-Table4[[#This Row],[Unfollows]]</f>
        <v>839</v>
      </c>
    </row>
    <row r="194" spans="1:10" x14ac:dyDescent="0.3">
      <c r="A194" s="9">
        <v>45894</v>
      </c>
      <c r="B194" s="8" t="s">
        <v>14</v>
      </c>
      <c r="C194" s="14">
        <v>1183</v>
      </c>
      <c r="D194" s="14">
        <v>223</v>
      </c>
      <c r="E194" s="14">
        <v>143811</v>
      </c>
      <c r="F194" s="30">
        <v>6.07</v>
      </c>
      <c r="G194" s="10">
        <v>22103</v>
      </c>
      <c r="H194">
        <f t="shared" si="2"/>
        <v>35</v>
      </c>
      <c r="I194" s="18">
        <f>(Table4[[#This Row],[New_Followers]]-Table4[[#This Row],[Unfollows]])/Table4[[#This Row],[Total_Followers]]</f>
        <v>6.6754281661347186E-3</v>
      </c>
      <c r="J194" s="14">
        <f>Table4[[#This Row],[New_Followers]]-Table4[[#This Row],[Unfollows]]</f>
        <v>960</v>
      </c>
    </row>
    <row r="195" spans="1:10" x14ac:dyDescent="0.3">
      <c r="A195" s="9">
        <v>45894</v>
      </c>
      <c r="B195" s="8" t="s">
        <v>23</v>
      </c>
      <c r="C195" s="14">
        <v>1413</v>
      </c>
      <c r="D195" s="14">
        <v>245</v>
      </c>
      <c r="E195" s="14">
        <v>296450</v>
      </c>
      <c r="F195" s="30">
        <v>6.52</v>
      </c>
      <c r="G195" s="10">
        <v>11625</v>
      </c>
      <c r="H195">
        <f t="shared" ref="H195:H201" si="3">WEEKNUM(A195)</f>
        <v>35</v>
      </c>
      <c r="I195" s="18">
        <f>(Table4[[#This Row],[New_Followers]]-Table4[[#This Row],[Unfollows]])/Table4[[#This Row],[Total_Followers]]</f>
        <v>3.9399561477483558E-3</v>
      </c>
      <c r="J195" s="14">
        <f>Table4[[#This Row],[New_Followers]]-Table4[[#This Row],[Unfollows]]</f>
        <v>1168</v>
      </c>
    </row>
    <row r="196" spans="1:10" x14ac:dyDescent="0.3">
      <c r="A196" s="9">
        <v>45894</v>
      </c>
      <c r="B196" s="8" t="s">
        <v>29</v>
      </c>
      <c r="C196" s="14">
        <v>791</v>
      </c>
      <c r="D196" s="14">
        <v>273</v>
      </c>
      <c r="E196" s="14">
        <v>144049</v>
      </c>
      <c r="F196" s="30">
        <v>3.08</v>
      </c>
      <c r="G196" s="10">
        <v>5281</v>
      </c>
      <c r="H196">
        <f t="shared" si="3"/>
        <v>35</v>
      </c>
      <c r="I196" s="18">
        <f>(Table4[[#This Row],[New_Followers]]-Table4[[#This Row],[Unfollows]])/Table4[[#This Row],[Total_Followers]]</f>
        <v>3.5959985838152297E-3</v>
      </c>
      <c r="J196" s="14">
        <f>Table4[[#This Row],[New_Followers]]-Table4[[#This Row],[Unfollows]]</f>
        <v>518</v>
      </c>
    </row>
    <row r="197" spans="1:10" x14ac:dyDescent="0.3">
      <c r="A197" s="9">
        <v>45901</v>
      </c>
      <c r="B197" s="8" t="s">
        <v>14</v>
      </c>
      <c r="C197" s="14">
        <v>1052</v>
      </c>
      <c r="D197" s="14">
        <v>180</v>
      </c>
      <c r="E197" s="14">
        <v>272534</v>
      </c>
      <c r="F197" s="30">
        <v>5.34</v>
      </c>
      <c r="G197" s="10">
        <v>13424</v>
      </c>
      <c r="H197">
        <f t="shared" si="3"/>
        <v>36</v>
      </c>
      <c r="I197" s="18">
        <f>(Table4[[#This Row],[New_Followers]]-Table4[[#This Row],[Unfollows]])/Table4[[#This Row],[Total_Followers]]</f>
        <v>3.1996007837554212E-3</v>
      </c>
      <c r="J197" s="14">
        <f>Table4[[#This Row],[New_Followers]]-Table4[[#This Row],[Unfollows]]</f>
        <v>872</v>
      </c>
    </row>
    <row r="198" spans="1:10" x14ac:dyDescent="0.3">
      <c r="A198" s="9">
        <v>45901</v>
      </c>
      <c r="B198" s="8" t="s">
        <v>23</v>
      </c>
      <c r="C198" s="14">
        <v>572</v>
      </c>
      <c r="D198" s="14">
        <v>270</v>
      </c>
      <c r="E198" s="14">
        <v>82265</v>
      </c>
      <c r="F198" s="30">
        <v>3.65</v>
      </c>
      <c r="G198" s="10">
        <v>13140</v>
      </c>
      <c r="H198">
        <f t="shared" si="3"/>
        <v>36</v>
      </c>
      <c r="I198" s="18">
        <f>(Table4[[#This Row],[New_Followers]]-Table4[[#This Row],[Unfollows]])/Table4[[#This Row],[Total_Followers]]</f>
        <v>3.6710630280192063E-3</v>
      </c>
      <c r="J198" s="14">
        <f>Table4[[#This Row],[New_Followers]]-Table4[[#This Row],[Unfollows]]</f>
        <v>302</v>
      </c>
    </row>
    <row r="199" spans="1:10" x14ac:dyDescent="0.3">
      <c r="A199" s="9">
        <v>45901</v>
      </c>
      <c r="B199" s="8" t="s">
        <v>29</v>
      </c>
      <c r="C199" s="14">
        <v>503</v>
      </c>
      <c r="D199" s="14">
        <v>253</v>
      </c>
      <c r="E199" s="14">
        <v>313562</v>
      </c>
      <c r="F199" s="30">
        <v>4.18</v>
      </c>
      <c r="G199" s="10">
        <v>19538</v>
      </c>
      <c r="H199">
        <f t="shared" si="3"/>
        <v>36</v>
      </c>
      <c r="I199" s="18">
        <f>(Table4[[#This Row],[New_Followers]]-Table4[[#This Row],[Unfollows]])/Table4[[#This Row],[Total_Followers]]</f>
        <v>7.9729048800556194E-4</v>
      </c>
      <c r="J199" s="14">
        <f>Table4[[#This Row],[New_Followers]]-Table4[[#This Row],[Unfollows]]</f>
        <v>250</v>
      </c>
    </row>
    <row r="200" spans="1:10" x14ac:dyDescent="0.3">
      <c r="A200" s="9">
        <v>45908</v>
      </c>
      <c r="B200" s="8" t="s">
        <v>14</v>
      </c>
      <c r="C200" s="14">
        <v>1017</v>
      </c>
      <c r="D200" s="14">
        <v>197</v>
      </c>
      <c r="E200" s="14">
        <v>89918</v>
      </c>
      <c r="F200" s="30">
        <v>3.91</v>
      </c>
      <c r="G200" s="10">
        <v>7881</v>
      </c>
      <c r="H200">
        <f t="shared" si="3"/>
        <v>37</v>
      </c>
      <c r="I200" s="18">
        <f>(Table4[[#This Row],[New_Followers]]-Table4[[#This Row],[Unfollows]])/Table4[[#This Row],[Total_Followers]]</f>
        <v>9.1194199159233963E-3</v>
      </c>
      <c r="J200" s="14">
        <f>Table4[[#This Row],[New_Followers]]-Table4[[#This Row],[Unfollows]]</f>
        <v>820</v>
      </c>
    </row>
    <row r="201" spans="1:10" x14ac:dyDescent="0.3">
      <c r="A201" s="9">
        <v>45908</v>
      </c>
      <c r="B201" s="8" t="s">
        <v>23</v>
      </c>
      <c r="C201" s="14">
        <v>860</v>
      </c>
      <c r="D201" s="14">
        <v>244</v>
      </c>
      <c r="E201" s="14">
        <v>348686</v>
      </c>
      <c r="F201" s="30">
        <v>5.12</v>
      </c>
      <c r="G201" s="10">
        <v>11418</v>
      </c>
      <c r="H201">
        <f t="shared" si="3"/>
        <v>37</v>
      </c>
      <c r="I201" s="18">
        <f>(Table4[[#This Row],[New_Followers]]-Table4[[#This Row],[Unfollows]])/Table4[[#This Row],[Total_Followers]]</f>
        <v>1.7666324429429343E-3</v>
      </c>
      <c r="J201" s="14">
        <f>Table4[[#This Row],[New_Followers]]-Table4[[#This Row],[Unfollows]]</f>
        <v>616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F35" sqref="F35"/>
    </sheetView>
  </sheetViews>
  <sheetFormatPr defaultRowHeight="14.4" x14ac:dyDescent="0.3"/>
  <cols>
    <col min="1" max="1" width="17.33203125" style="8" customWidth="1"/>
    <col min="2" max="2" width="11.77734375" customWidth="1"/>
    <col min="3" max="3" width="11" customWidth="1"/>
    <col min="4" max="4" width="15.109375" style="8" bestFit="1" customWidth="1"/>
    <col min="5" max="5" width="14.109375" customWidth="1"/>
    <col min="6" max="7" width="18.33203125" style="8" customWidth="1"/>
    <col min="8" max="8" width="32.109375" style="8" bestFit="1" customWidth="1"/>
    <col min="9" max="9" width="17.21875" style="8" bestFit="1" customWidth="1"/>
  </cols>
  <sheetData>
    <row r="1" spans="1:9" x14ac:dyDescent="0.3">
      <c r="A1" s="16" t="s">
        <v>12</v>
      </c>
      <c r="B1" s="7" t="s">
        <v>341</v>
      </c>
      <c r="C1" s="7" t="s">
        <v>342</v>
      </c>
      <c r="D1" s="16" t="s">
        <v>343</v>
      </c>
      <c r="E1" s="7" t="s">
        <v>344</v>
      </c>
      <c r="F1" s="16" t="s">
        <v>365</v>
      </c>
      <c r="G1" s="16" t="s">
        <v>366</v>
      </c>
      <c r="H1" s="16" t="s">
        <v>345</v>
      </c>
      <c r="I1" s="16" t="s">
        <v>364</v>
      </c>
    </row>
    <row r="2" spans="1:9" x14ac:dyDescent="0.3">
      <c r="A2" s="8" t="s">
        <v>52</v>
      </c>
      <c r="B2" s="9" t="s">
        <v>346</v>
      </c>
      <c r="C2" s="9" t="s">
        <v>347</v>
      </c>
      <c r="D2" s="8" t="s">
        <v>348</v>
      </c>
      <c r="E2" s="10">
        <v>175000</v>
      </c>
      <c r="F2" s="8" t="s">
        <v>14</v>
      </c>
      <c r="G2" s="8" t="s">
        <v>29</v>
      </c>
      <c r="H2" s="8" t="s">
        <v>359</v>
      </c>
      <c r="I2" s="8" t="s">
        <v>358</v>
      </c>
    </row>
    <row r="3" spans="1:9" x14ac:dyDescent="0.3">
      <c r="A3" s="8" t="s">
        <v>49</v>
      </c>
      <c r="B3" s="9" t="s">
        <v>349</v>
      </c>
      <c r="C3" s="9" t="s">
        <v>350</v>
      </c>
      <c r="D3" s="8" t="s">
        <v>351</v>
      </c>
      <c r="E3" s="10">
        <v>225000</v>
      </c>
      <c r="F3" s="8" t="s">
        <v>23</v>
      </c>
      <c r="G3" s="8" t="s">
        <v>29</v>
      </c>
      <c r="H3" s="8" t="s">
        <v>359</v>
      </c>
      <c r="I3" s="8" t="s">
        <v>37</v>
      </c>
    </row>
    <row r="4" spans="1:9" x14ac:dyDescent="0.3">
      <c r="A4" s="8" t="s">
        <v>17</v>
      </c>
      <c r="B4" s="9" t="s">
        <v>352</v>
      </c>
      <c r="C4" s="9" t="s">
        <v>353</v>
      </c>
      <c r="D4" s="8" t="s">
        <v>354</v>
      </c>
      <c r="E4" s="10">
        <v>200000</v>
      </c>
      <c r="F4" s="8" t="s">
        <v>14</v>
      </c>
      <c r="G4" s="8" t="s">
        <v>23</v>
      </c>
      <c r="H4" s="8" t="s">
        <v>362</v>
      </c>
      <c r="I4" s="8" t="s">
        <v>39</v>
      </c>
    </row>
    <row r="5" spans="1:9" x14ac:dyDescent="0.3">
      <c r="A5" s="8" t="s">
        <v>21</v>
      </c>
      <c r="B5" s="9" t="s">
        <v>355</v>
      </c>
      <c r="C5" s="9" t="s">
        <v>356</v>
      </c>
      <c r="D5" s="8" t="s">
        <v>357</v>
      </c>
      <c r="E5" s="10">
        <v>160000</v>
      </c>
      <c r="F5" s="8" t="s">
        <v>367</v>
      </c>
      <c r="G5" s="8" t="s">
        <v>14</v>
      </c>
      <c r="H5" s="8" t="s">
        <v>20</v>
      </c>
      <c r="I5" s="8" t="s">
        <v>363</v>
      </c>
    </row>
    <row r="8" spans="1:9" x14ac:dyDescent="0.3">
      <c r="E8" s="8"/>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C6" sqref="C6"/>
    </sheetView>
  </sheetViews>
  <sheetFormatPr defaultRowHeight="14.4" x14ac:dyDescent="0.3"/>
  <cols>
    <col min="1" max="1" width="10.21875" customWidth="1"/>
  </cols>
  <sheetData>
    <row r="1" spans="1:1" x14ac:dyDescent="0.3">
      <c r="A1" s="4" t="s">
        <v>1</v>
      </c>
    </row>
    <row r="2" spans="1:1" x14ac:dyDescent="0.3">
      <c r="A2" s="1" t="s">
        <v>14</v>
      </c>
    </row>
    <row r="3" spans="1:1" x14ac:dyDescent="0.3">
      <c r="A3" s="1" t="s">
        <v>23</v>
      </c>
    </row>
    <row r="4" spans="1:1" x14ac:dyDescent="0.3">
      <c r="A4" s="1" t="s">
        <v>29</v>
      </c>
    </row>
    <row r="5" spans="1:1" x14ac:dyDescent="0.3">
      <c r="A5" s="1" t="s">
        <v>367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6"/>
  <sheetViews>
    <sheetView workbookViewId="0">
      <selection activeCell="A7" sqref="A7"/>
    </sheetView>
  </sheetViews>
  <sheetFormatPr defaultRowHeight="14.4" x14ac:dyDescent="0.3"/>
  <cols>
    <col min="1" max="1" width="10.33203125" bestFit="1" customWidth="1"/>
  </cols>
  <sheetData>
    <row r="1" spans="1:2" x14ac:dyDescent="0.3">
      <c r="A1" s="5" t="s">
        <v>2</v>
      </c>
      <c r="B1" s="7" t="s">
        <v>370</v>
      </c>
    </row>
    <row r="2" spans="1:2" x14ac:dyDescent="0.3">
      <c r="A2" s="2">
        <v>45781</v>
      </c>
      <c r="B2">
        <f t="shared" ref="B2:B65" si="0">WEEKNUM(A2)</f>
        <v>19</v>
      </c>
    </row>
    <row r="3" spans="1:2" x14ac:dyDescent="0.3">
      <c r="A3" s="2">
        <v>45689</v>
      </c>
      <c r="B3">
        <f t="shared" si="0"/>
        <v>5</v>
      </c>
    </row>
    <row r="4" spans="1:2" x14ac:dyDescent="0.3">
      <c r="A4" s="2">
        <v>45629</v>
      </c>
      <c r="B4">
        <f t="shared" si="0"/>
        <v>49</v>
      </c>
    </row>
    <row r="5" spans="1:2" x14ac:dyDescent="0.3">
      <c r="A5" s="2">
        <v>45388</v>
      </c>
      <c r="B5">
        <f t="shared" si="0"/>
        <v>14</v>
      </c>
    </row>
    <row r="6" spans="1:2" x14ac:dyDescent="0.3">
      <c r="A6" s="2">
        <v>45456</v>
      </c>
      <c r="B6">
        <f t="shared" si="0"/>
        <v>24</v>
      </c>
    </row>
    <row r="7" spans="1:2" x14ac:dyDescent="0.3">
      <c r="A7" s="2">
        <v>45645</v>
      </c>
      <c r="B7">
        <f t="shared" si="0"/>
        <v>51</v>
      </c>
    </row>
    <row r="8" spans="1:2" x14ac:dyDescent="0.3">
      <c r="A8" s="2">
        <v>45421</v>
      </c>
      <c r="B8">
        <f t="shared" si="0"/>
        <v>19</v>
      </c>
    </row>
    <row r="9" spans="1:2" x14ac:dyDescent="0.3">
      <c r="A9" s="2">
        <v>45630</v>
      </c>
      <c r="B9">
        <f t="shared" si="0"/>
        <v>49</v>
      </c>
    </row>
    <row r="10" spans="1:2" x14ac:dyDescent="0.3">
      <c r="A10" s="2">
        <v>45357</v>
      </c>
      <c r="B10">
        <f t="shared" si="0"/>
        <v>10</v>
      </c>
    </row>
    <row r="11" spans="1:2" x14ac:dyDescent="0.3">
      <c r="A11" s="2">
        <v>45426</v>
      </c>
      <c r="B11">
        <f t="shared" si="0"/>
        <v>20</v>
      </c>
    </row>
    <row r="12" spans="1:2" x14ac:dyDescent="0.3">
      <c r="A12" s="2">
        <v>45826</v>
      </c>
      <c r="B12">
        <f t="shared" si="0"/>
        <v>25</v>
      </c>
    </row>
    <row r="13" spans="1:2" x14ac:dyDescent="0.3">
      <c r="A13" s="2">
        <v>45573</v>
      </c>
      <c r="B13">
        <f t="shared" si="0"/>
        <v>41</v>
      </c>
    </row>
    <row r="14" spans="1:2" x14ac:dyDescent="0.3">
      <c r="A14" s="2">
        <v>45418</v>
      </c>
      <c r="B14">
        <f t="shared" si="0"/>
        <v>19</v>
      </c>
    </row>
    <row r="15" spans="1:2" x14ac:dyDescent="0.3">
      <c r="A15" s="2">
        <v>45655</v>
      </c>
      <c r="B15">
        <f t="shared" si="0"/>
        <v>53</v>
      </c>
    </row>
    <row r="16" spans="1:2" x14ac:dyDescent="0.3">
      <c r="A16" s="2">
        <v>45453</v>
      </c>
      <c r="B16">
        <f t="shared" si="0"/>
        <v>24</v>
      </c>
    </row>
    <row r="17" spans="1:2" x14ac:dyDescent="0.3">
      <c r="A17" s="2">
        <v>45325</v>
      </c>
      <c r="B17">
        <f t="shared" si="0"/>
        <v>5</v>
      </c>
    </row>
    <row r="18" spans="1:2" x14ac:dyDescent="0.3">
      <c r="A18" s="2">
        <v>45458</v>
      </c>
      <c r="B18">
        <f t="shared" si="0"/>
        <v>24</v>
      </c>
    </row>
    <row r="19" spans="1:2" x14ac:dyDescent="0.3">
      <c r="A19" s="2">
        <v>45478</v>
      </c>
      <c r="B19">
        <f t="shared" si="0"/>
        <v>27</v>
      </c>
    </row>
    <row r="20" spans="1:2" x14ac:dyDescent="0.3">
      <c r="A20" s="2">
        <v>45603</v>
      </c>
      <c r="B20">
        <f t="shared" si="0"/>
        <v>45</v>
      </c>
    </row>
    <row r="21" spans="1:2" x14ac:dyDescent="0.3">
      <c r="A21" s="2">
        <v>45823</v>
      </c>
      <c r="B21">
        <f t="shared" si="0"/>
        <v>25</v>
      </c>
    </row>
    <row r="22" spans="1:2" x14ac:dyDescent="0.3">
      <c r="A22" s="2">
        <v>45452</v>
      </c>
      <c r="B22">
        <f t="shared" si="0"/>
        <v>24</v>
      </c>
    </row>
    <row r="23" spans="1:2" x14ac:dyDescent="0.3">
      <c r="A23" s="2">
        <v>45583</v>
      </c>
      <c r="B23">
        <f t="shared" si="0"/>
        <v>42</v>
      </c>
    </row>
    <row r="24" spans="1:2" x14ac:dyDescent="0.3">
      <c r="A24" s="2">
        <v>45575</v>
      </c>
      <c r="B24">
        <f t="shared" si="0"/>
        <v>41</v>
      </c>
    </row>
    <row r="25" spans="1:2" x14ac:dyDescent="0.3">
      <c r="A25" s="2">
        <v>45791</v>
      </c>
      <c r="B25">
        <f t="shared" si="0"/>
        <v>20</v>
      </c>
    </row>
    <row r="26" spans="1:2" x14ac:dyDescent="0.3">
      <c r="A26" s="2">
        <v>45625</v>
      </c>
      <c r="B26">
        <f t="shared" si="0"/>
        <v>48</v>
      </c>
    </row>
    <row r="27" spans="1:2" x14ac:dyDescent="0.3">
      <c r="A27" s="2">
        <v>45356</v>
      </c>
      <c r="B27">
        <f t="shared" si="0"/>
        <v>10</v>
      </c>
    </row>
    <row r="28" spans="1:2" x14ac:dyDescent="0.3">
      <c r="A28" s="2">
        <v>45734</v>
      </c>
      <c r="B28">
        <f t="shared" si="0"/>
        <v>12</v>
      </c>
    </row>
    <row r="29" spans="1:2" x14ac:dyDescent="0.3">
      <c r="A29" s="2">
        <v>45773</v>
      </c>
      <c r="B29">
        <f t="shared" si="0"/>
        <v>17</v>
      </c>
    </row>
    <row r="30" spans="1:2" x14ac:dyDescent="0.3">
      <c r="A30" s="2">
        <v>45658</v>
      </c>
      <c r="B30">
        <f t="shared" si="0"/>
        <v>1</v>
      </c>
    </row>
    <row r="31" spans="1:2" x14ac:dyDescent="0.3">
      <c r="A31" s="2">
        <v>45419</v>
      </c>
      <c r="B31">
        <f t="shared" si="0"/>
        <v>19</v>
      </c>
    </row>
    <row r="32" spans="1:2" x14ac:dyDescent="0.3">
      <c r="A32" s="2">
        <v>45574</v>
      </c>
      <c r="B32">
        <f t="shared" si="0"/>
        <v>41</v>
      </c>
    </row>
    <row r="33" spans="1:2" x14ac:dyDescent="0.3">
      <c r="A33" s="2">
        <v>45666</v>
      </c>
      <c r="B33">
        <f t="shared" si="0"/>
        <v>2</v>
      </c>
    </row>
    <row r="34" spans="1:2" x14ac:dyDescent="0.3">
      <c r="A34" s="2">
        <v>45785</v>
      </c>
      <c r="B34">
        <f t="shared" si="0"/>
        <v>19</v>
      </c>
    </row>
    <row r="35" spans="1:2" x14ac:dyDescent="0.3">
      <c r="A35" s="2">
        <v>45416</v>
      </c>
      <c r="B35">
        <f t="shared" si="0"/>
        <v>18</v>
      </c>
    </row>
    <row r="36" spans="1:2" x14ac:dyDescent="0.3">
      <c r="A36" s="2">
        <v>45804</v>
      </c>
      <c r="B36">
        <f t="shared" si="0"/>
        <v>22</v>
      </c>
    </row>
    <row r="37" spans="1:2" x14ac:dyDescent="0.3">
      <c r="A37" s="2">
        <v>45545</v>
      </c>
      <c r="B37">
        <f t="shared" si="0"/>
        <v>37</v>
      </c>
    </row>
    <row r="38" spans="1:2" x14ac:dyDescent="0.3">
      <c r="A38" s="2">
        <v>45621</v>
      </c>
      <c r="B38">
        <f t="shared" si="0"/>
        <v>48</v>
      </c>
    </row>
    <row r="39" spans="1:2" x14ac:dyDescent="0.3">
      <c r="A39" s="2">
        <v>45818</v>
      </c>
      <c r="B39">
        <f t="shared" si="0"/>
        <v>24</v>
      </c>
    </row>
    <row r="40" spans="1:2" x14ac:dyDescent="0.3">
      <c r="A40" s="2">
        <v>45401</v>
      </c>
      <c r="B40">
        <f t="shared" si="0"/>
        <v>16</v>
      </c>
    </row>
    <row r="41" spans="1:2" x14ac:dyDescent="0.3">
      <c r="A41" s="2">
        <v>45683</v>
      </c>
      <c r="B41">
        <f t="shared" si="0"/>
        <v>5</v>
      </c>
    </row>
    <row r="42" spans="1:2" x14ac:dyDescent="0.3">
      <c r="A42" s="2">
        <v>45702</v>
      </c>
      <c r="B42">
        <f t="shared" si="0"/>
        <v>7</v>
      </c>
    </row>
    <row r="43" spans="1:2" x14ac:dyDescent="0.3">
      <c r="A43" s="2">
        <v>45541</v>
      </c>
      <c r="B43">
        <f t="shared" si="0"/>
        <v>36</v>
      </c>
    </row>
    <row r="44" spans="1:2" x14ac:dyDescent="0.3">
      <c r="A44" s="2">
        <v>45487</v>
      </c>
      <c r="B44">
        <f t="shared" si="0"/>
        <v>29</v>
      </c>
    </row>
    <row r="45" spans="1:2" x14ac:dyDescent="0.3">
      <c r="A45" s="2">
        <v>45334</v>
      </c>
      <c r="B45">
        <f t="shared" si="0"/>
        <v>7</v>
      </c>
    </row>
    <row r="46" spans="1:2" x14ac:dyDescent="0.3">
      <c r="A46" s="2">
        <v>45365</v>
      </c>
      <c r="B46">
        <f t="shared" si="0"/>
        <v>11</v>
      </c>
    </row>
    <row r="47" spans="1:2" x14ac:dyDescent="0.3">
      <c r="A47" s="2">
        <v>45693</v>
      </c>
      <c r="B47">
        <f t="shared" si="0"/>
        <v>6</v>
      </c>
    </row>
    <row r="48" spans="1:2" x14ac:dyDescent="0.3">
      <c r="A48" s="2">
        <v>45533</v>
      </c>
      <c r="B48">
        <f t="shared" si="0"/>
        <v>35</v>
      </c>
    </row>
    <row r="49" spans="1:2" x14ac:dyDescent="0.3">
      <c r="A49" s="2">
        <v>45769</v>
      </c>
      <c r="B49">
        <f t="shared" si="0"/>
        <v>17</v>
      </c>
    </row>
    <row r="50" spans="1:2" x14ac:dyDescent="0.3">
      <c r="A50" s="2">
        <v>45425</v>
      </c>
      <c r="B50">
        <f t="shared" si="0"/>
        <v>20</v>
      </c>
    </row>
    <row r="51" spans="1:2" x14ac:dyDescent="0.3">
      <c r="A51" s="2">
        <v>45539</v>
      </c>
      <c r="B51">
        <f t="shared" si="0"/>
        <v>36</v>
      </c>
    </row>
    <row r="52" spans="1:2" x14ac:dyDescent="0.3">
      <c r="A52" s="2">
        <v>45516</v>
      </c>
      <c r="B52">
        <f t="shared" si="0"/>
        <v>33</v>
      </c>
    </row>
    <row r="53" spans="1:2" x14ac:dyDescent="0.3">
      <c r="A53" s="2">
        <v>45722</v>
      </c>
      <c r="B53">
        <f t="shared" si="0"/>
        <v>10</v>
      </c>
    </row>
    <row r="54" spans="1:2" x14ac:dyDescent="0.3">
      <c r="A54" s="2">
        <v>45420</v>
      </c>
      <c r="B54">
        <f t="shared" si="0"/>
        <v>19</v>
      </c>
    </row>
    <row r="55" spans="1:2" x14ac:dyDescent="0.3">
      <c r="A55" s="2">
        <v>45707</v>
      </c>
      <c r="B55">
        <f t="shared" si="0"/>
        <v>8</v>
      </c>
    </row>
    <row r="56" spans="1:2" x14ac:dyDescent="0.3">
      <c r="A56" s="2">
        <v>45299</v>
      </c>
      <c r="B56">
        <f t="shared" si="0"/>
        <v>2</v>
      </c>
    </row>
    <row r="57" spans="1:2" x14ac:dyDescent="0.3">
      <c r="A57" s="2">
        <v>45490</v>
      </c>
      <c r="B57">
        <f t="shared" si="0"/>
        <v>29</v>
      </c>
    </row>
    <row r="58" spans="1:2" x14ac:dyDescent="0.3">
      <c r="A58" s="2">
        <v>45514</v>
      </c>
      <c r="B58">
        <f t="shared" si="0"/>
        <v>32</v>
      </c>
    </row>
    <row r="59" spans="1:2" x14ac:dyDescent="0.3">
      <c r="A59" s="2">
        <v>45398</v>
      </c>
      <c r="B59">
        <f t="shared" si="0"/>
        <v>16</v>
      </c>
    </row>
    <row r="60" spans="1:2" x14ac:dyDescent="0.3">
      <c r="A60" s="2">
        <v>45292</v>
      </c>
      <c r="B60">
        <f t="shared" si="0"/>
        <v>1</v>
      </c>
    </row>
    <row r="61" spans="1:2" x14ac:dyDescent="0.3">
      <c r="A61" s="2">
        <v>45599</v>
      </c>
      <c r="B61">
        <f t="shared" si="0"/>
        <v>45</v>
      </c>
    </row>
    <row r="62" spans="1:2" x14ac:dyDescent="0.3">
      <c r="A62" s="2">
        <v>45480</v>
      </c>
      <c r="B62">
        <f t="shared" si="0"/>
        <v>28</v>
      </c>
    </row>
    <row r="63" spans="1:2" x14ac:dyDescent="0.3">
      <c r="A63" s="2">
        <v>45679</v>
      </c>
      <c r="B63">
        <f t="shared" si="0"/>
        <v>4</v>
      </c>
    </row>
    <row r="64" spans="1:2" x14ac:dyDescent="0.3">
      <c r="A64" s="2">
        <v>45438</v>
      </c>
      <c r="B64">
        <f t="shared" si="0"/>
        <v>22</v>
      </c>
    </row>
    <row r="65" spans="1:2" x14ac:dyDescent="0.3">
      <c r="A65" s="2">
        <v>45763</v>
      </c>
      <c r="B65">
        <f t="shared" si="0"/>
        <v>16</v>
      </c>
    </row>
    <row r="66" spans="1:2" x14ac:dyDescent="0.3">
      <c r="A66" s="2">
        <v>45384</v>
      </c>
      <c r="B66">
        <f t="shared" ref="B66:B129" si="1">WEEKNUM(A66)</f>
        <v>14</v>
      </c>
    </row>
    <row r="67" spans="1:2" x14ac:dyDescent="0.3">
      <c r="A67" s="2">
        <v>45379</v>
      </c>
      <c r="B67">
        <f t="shared" si="1"/>
        <v>13</v>
      </c>
    </row>
    <row r="68" spans="1:2" x14ac:dyDescent="0.3">
      <c r="A68" s="2">
        <v>45643</v>
      </c>
      <c r="B68">
        <f t="shared" si="1"/>
        <v>51</v>
      </c>
    </row>
    <row r="69" spans="1:2" x14ac:dyDescent="0.3">
      <c r="A69" s="2">
        <v>45662</v>
      </c>
      <c r="B69">
        <f t="shared" si="1"/>
        <v>2</v>
      </c>
    </row>
    <row r="70" spans="1:2" x14ac:dyDescent="0.3">
      <c r="A70" s="2">
        <v>45302</v>
      </c>
      <c r="B70">
        <f t="shared" si="1"/>
        <v>2</v>
      </c>
    </row>
    <row r="71" spans="1:2" x14ac:dyDescent="0.3">
      <c r="A71" s="2">
        <v>45576</v>
      </c>
      <c r="B71">
        <f t="shared" si="1"/>
        <v>41</v>
      </c>
    </row>
    <row r="72" spans="1:2" x14ac:dyDescent="0.3">
      <c r="A72" s="2">
        <v>45783</v>
      </c>
      <c r="B72">
        <f t="shared" si="1"/>
        <v>19</v>
      </c>
    </row>
    <row r="73" spans="1:2" x14ac:dyDescent="0.3">
      <c r="A73" s="2">
        <v>45431</v>
      </c>
      <c r="B73">
        <f t="shared" si="1"/>
        <v>21</v>
      </c>
    </row>
    <row r="74" spans="1:2" x14ac:dyDescent="0.3">
      <c r="A74" s="2">
        <v>45313</v>
      </c>
      <c r="B74">
        <f t="shared" si="1"/>
        <v>4</v>
      </c>
    </row>
    <row r="75" spans="1:2" x14ac:dyDescent="0.3">
      <c r="A75" s="2">
        <v>45805</v>
      </c>
      <c r="B75">
        <f t="shared" si="1"/>
        <v>22</v>
      </c>
    </row>
    <row r="76" spans="1:2" x14ac:dyDescent="0.3">
      <c r="A76" s="2">
        <v>45678</v>
      </c>
      <c r="B76">
        <f t="shared" si="1"/>
        <v>4</v>
      </c>
    </row>
    <row r="77" spans="1:2" x14ac:dyDescent="0.3">
      <c r="A77" s="2">
        <v>45304</v>
      </c>
      <c r="B77">
        <f t="shared" si="1"/>
        <v>2</v>
      </c>
    </row>
    <row r="78" spans="1:2" x14ac:dyDescent="0.3">
      <c r="A78" s="2">
        <v>45825</v>
      </c>
      <c r="B78">
        <f t="shared" si="1"/>
        <v>25</v>
      </c>
    </row>
    <row r="79" spans="1:2" x14ac:dyDescent="0.3">
      <c r="A79" s="2">
        <v>45723</v>
      </c>
      <c r="B79">
        <f t="shared" si="1"/>
        <v>10</v>
      </c>
    </row>
    <row r="80" spans="1:2" x14ac:dyDescent="0.3">
      <c r="A80" s="2">
        <v>45530</v>
      </c>
      <c r="B80">
        <f t="shared" si="1"/>
        <v>35</v>
      </c>
    </row>
    <row r="81" spans="1:2" x14ac:dyDescent="0.3">
      <c r="A81" s="2">
        <v>45660</v>
      </c>
      <c r="B81">
        <f t="shared" si="1"/>
        <v>1</v>
      </c>
    </row>
    <row r="82" spans="1:2" x14ac:dyDescent="0.3">
      <c r="A82" s="2">
        <v>45507</v>
      </c>
      <c r="B82">
        <f t="shared" si="1"/>
        <v>31</v>
      </c>
    </row>
    <row r="83" spans="1:2" x14ac:dyDescent="0.3">
      <c r="A83" s="2">
        <v>45522</v>
      </c>
      <c r="B83">
        <f t="shared" si="1"/>
        <v>34</v>
      </c>
    </row>
    <row r="84" spans="1:2" x14ac:dyDescent="0.3">
      <c r="A84" s="2">
        <v>45405</v>
      </c>
      <c r="B84">
        <f t="shared" si="1"/>
        <v>17</v>
      </c>
    </row>
    <row r="85" spans="1:2" x14ac:dyDescent="0.3">
      <c r="A85" s="2">
        <v>45705</v>
      </c>
      <c r="B85">
        <f t="shared" si="1"/>
        <v>8</v>
      </c>
    </row>
    <row r="86" spans="1:2" x14ac:dyDescent="0.3">
      <c r="A86" s="2">
        <v>45495</v>
      </c>
      <c r="B86">
        <f t="shared" si="1"/>
        <v>30</v>
      </c>
    </row>
    <row r="87" spans="1:2" x14ac:dyDescent="0.3">
      <c r="A87" s="2">
        <v>45774</v>
      </c>
      <c r="B87">
        <f t="shared" si="1"/>
        <v>18</v>
      </c>
    </row>
    <row r="88" spans="1:2" x14ac:dyDescent="0.3">
      <c r="A88" s="2">
        <v>45376</v>
      </c>
      <c r="B88">
        <f t="shared" si="1"/>
        <v>13</v>
      </c>
    </row>
    <row r="89" spans="1:2" x14ac:dyDescent="0.3">
      <c r="A89" s="2">
        <v>45351</v>
      </c>
      <c r="B89">
        <f t="shared" si="1"/>
        <v>9</v>
      </c>
    </row>
    <row r="90" spans="1:2" x14ac:dyDescent="0.3">
      <c r="A90" s="2">
        <v>45609</v>
      </c>
      <c r="B90">
        <f t="shared" si="1"/>
        <v>46</v>
      </c>
    </row>
    <row r="91" spans="1:2" x14ac:dyDescent="0.3">
      <c r="A91" s="2">
        <v>45373</v>
      </c>
      <c r="B91">
        <f t="shared" si="1"/>
        <v>12</v>
      </c>
    </row>
    <row r="92" spans="1:2" x14ac:dyDescent="0.3">
      <c r="A92" s="2">
        <v>45367</v>
      </c>
      <c r="B92">
        <f t="shared" si="1"/>
        <v>11</v>
      </c>
    </row>
    <row r="93" spans="1:2" x14ac:dyDescent="0.3">
      <c r="A93" s="2">
        <v>45317</v>
      </c>
      <c r="B93">
        <f t="shared" si="1"/>
        <v>4</v>
      </c>
    </row>
    <row r="94" spans="1:2" x14ac:dyDescent="0.3">
      <c r="A94" s="2">
        <v>45366</v>
      </c>
      <c r="B94">
        <f t="shared" si="1"/>
        <v>11</v>
      </c>
    </row>
    <row r="95" spans="1:2" x14ac:dyDescent="0.3">
      <c r="A95" s="2">
        <v>45580</v>
      </c>
      <c r="B95">
        <f t="shared" si="1"/>
        <v>42</v>
      </c>
    </row>
    <row r="96" spans="1:2" x14ac:dyDescent="0.3">
      <c r="A96" s="2">
        <v>45494</v>
      </c>
      <c r="B96">
        <f t="shared" si="1"/>
        <v>30</v>
      </c>
    </row>
    <row r="97" spans="1:2" x14ac:dyDescent="0.3">
      <c r="A97" s="2">
        <v>45577</v>
      </c>
      <c r="B97">
        <f t="shared" si="1"/>
        <v>41</v>
      </c>
    </row>
    <row r="98" spans="1:2" x14ac:dyDescent="0.3">
      <c r="A98" s="2">
        <v>45591</v>
      </c>
      <c r="B98">
        <f t="shared" si="1"/>
        <v>43</v>
      </c>
    </row>
    <row r="99" spans="1:2" x14ac:dyDescent="0.3">
      <c r="A99" s="2">
        <v>45336</v>
      </c>
      <c r="B99">
        <f t="shared" si="1"/>
        <v>7</v>
      </c>
    </row>
    <row r="100" spans="1:2" x14ac:dyDescent="0.3">
      <c r="A100" s="2">
        <v>45413</v>
      </c>
      <c r="B100">
        <f t="shared" si="1"/>
        <v>18</v>
      </c>
    </row>
    <row r="101" spans="1:2" x14ac:dyDescent="0.3">
      <c r="A101" s="2">
        <v>45553</v>
      </c>
      <c r="B101">
        <f t="shared" si="1"/>
        <v>38</v>
      </c>
    </row>
    <row r="102" spans="1:2" x14ac:dyDescent="0.3">
      <c r="A102" s="2">
        <v>45677</v>
      </c>
      <c r="B102">
        <f t="shared" si="1"/>
        <v>4</v>
      </c>
    </row>
    <row r="103" spans="1:2" x14ac:dyDescent="0.3">
      <c r="A103" s="2">
        <v>45670</v>
      </c>
      <c r="B103">
        <f t="shared" si="1"/>
        <v>3</v>
      </c>
    </row>
    <row r="104" spans="1:2" x14ac:dyDescent="0.3">
      <c r="A104" s="2">
        <v>45542</v>
      </c>
      <c r="B104">
        <f t="shared" si="1"/>
        <v>36</v>
      </c>
    </row>
    <row r="105" spans="1:2" x14ac:dyDescent="0.3">
      <c r="A105" s="2">
        <v>45617</v>
      </c>
      <c r="B105">
        <f t="shared" si="1"/>
        <v>47</v>
      </c>
    </row>
    <row r="106" spans="1:2" x14ac:dyDescent="0.3">
      <c r="A106" s="2">
        <v>45469</v>
      </c>
      <c r="B106">
        <f t="shared" si="1"/>
        <v>26</v>
      </c>
    </row>
    <row r="107" spans="1:2" x14ac:dyDescent="0.3">
      <c r="A107" s="2">
        <v>45493</v>
      </c>
      <c r="B107">
        <f t="shared" si="1"/>
        <v>29</v>
      </c>
    </row>
    <row r="108" spans="1:2" x14ac:dyDescent="0.3">
      <c r="A108" s="2">
        <v>45704</v>
      </c>
      <c r="B108">
        <f t="shared" si="1"/>
        <v>8</v>
      </c>
    </row>
    <row r="109" spans="1:2" x14ac:dyDescent="0.3">
      <c r="A109" s="2">
        <v>45544</v>
      </c>
      <c r="B109">
        <f t="shared" si="1"/>
        <v>37</v>
      </c>
    </row>
    <row r="110" spans="1:2" x14ac:dyDescent="0.3">
      <c r="A110" s="2">
        <v>45489</v>
      </c>
      <c r="B110">
        <f t="shared" si="1"/>
        <v>29</v>
      </c>
    </row>
    <row r="111" spans="1:2" x14ac:dyDescent="0.3">
      <c r="A111" s="2">
        <v>45762</v>
      </c>
      <c r="B111">
        <f t="shared" si="1"/>
        <v>16</v>
      </c>
    </row>
    <row r="112" spans="1:2" x14ac:dyDescent="0.3">
      <c r="A112" s="2">
        <v>45340</v>
      </c>
      <c r="B112">
        <f t="shared" si="1"/>
        <v>8</v>
      </c>
    </row>
    <row r="113" spans="1:2" x14ac:dyDescent="0.3">
      <c r="A113" s="2">
        <v>45428</v>
      </c>
      <c r="B113">
        <f t="shared" si="1"/>
        <v>20</v>
      </c>
    </row>
    <row r="114" spans="1:2" x14ac:dyDescent="0.3">
      <c r="A114" s="2">
        <v>45806</v>
      </c>
      <c r="B114">
        <f t="shared" si="1"/>
        <v>22</v>
      </c>
    </row>
    <row r="115" spans="1:2" x14ac:dyDescent="0.3">
      <c r="A115" s="2">
        <v>45674</v>
      </c>
      <c r="B115">
        <f t="shared" si="1"/>
        <v>3</v>
      </c>
    </row>
    <row r="116" spans="1:2" x14ac:dyDescent="0.3">
      <c r="A116" s="2">
        <v>45777</v>
      </c>
      <c r="B116">
        <f t="shared" si="1"/>
        <v>18</v>
      </c>
    </row>
    <row r="117" spans="1:2" x14ac:dyDescent="0.3">
      <c r="A117" s="2">
        <v>45346</v>
      </c>
      <c r="B117">
        <f t="shared" si="1"/>
        <v>8</v>
      </c>
    </row>
    <row r="118" spans="1:2" x14ac:dyDescent="0.3">
      <c r="A118" s="2">
        <v>45424</v>
      </c>
      <c r="B118">
        <f t="shared" si="1"/>
        <v>20</v>
      </c>
    </row>
    <row r="119" spans="1:2" x14ac:dyDescent="0.3">
      <c r="A119" s="2">
        <v>45602</v>
      </c>
      <c r="B119">
        <f t="shared" si="1"/>
        <v>45</v>
      </c>
    </row>
    <row r="120" spans="1:2" x14ac:dyDescent="0.3">
      <c r="A120" s="2">
        <v>45295</v>
      </c>
      <c r="B120">
        <f t="shared" si="1"/>
        <v>1</v>
      </c>
    </row>
    <row r="121" spans="1:2" x14ac:dyDescent="0.3">
      <c r="A121" s="2">
        <v>45319</v>
      </c>
      <c r="B121">
        <f t="shared" si="1"/>
        <v>5</v>
      </c>
    </row>
    <row r="122" spans="1:2" x14ac:dyDescent="0.3">
      <c r="A122" s="2">
        <v>45344</v>
      </c>
      <c r="B122">
        <f t="shared" si="1"/>
        <v>8</v>
      </c>
    </row>
    <row r="123" spans="1:2" x14ac:dyDescent="0.3">
      <c r="A123" s="2">
        <v>45839</v>
      </c>
      <c r="B123">
        <f t="shared" si="1"/>
        <v>27</v>
      </c>
    </row>
    <row r="124" spans="1:2" x14ac:dyDescent="0.3">
      <c r="A124" s="2">
        <v>45301</v>
      </c>
      <c r="B124">
        <f t="shared" si="1"/>
        <v>2</v>
      </c>
    </row>
    <row r="125" spans="1:2" x14ac:dyDescent="0.3">
      <c r="A125" s="2">
        <v>45736</v>
      </c>
      <c r="B125">
        <f t="shared" si="1"/>
        <v>12</v>
      </c>
    </row>
    <row r="126" spans="1:2" x14ac:dyDescent="0.3">
      <c r="A126" s="2">
        <v>45563</v>
      </c>
      <c r="B126">
        <f t="shared" si="1"/>
        <v>39</v>
      </c>
    </row>
    <row r="127" spans="1:2" x14ac:dyDescent="0.3">
      <c r="A127" s="2">
        <v>45318</v>
      </c>
      <c r="B127">
        <f t="shared" si="1"/>
        <v>4</v>
      </c>
    </row>
    <row r="128" spans="1:2" x14ac:dyDescent="0.3">
      <c r="A128" s="2">
        <v>45792</v>
      </c>
      <c r="B128">
        <f t="shared" si="1"/>
        <v>20</v>
      </c>
    </row>
    <row r="129" spans="1:2" x14ac:dyDescent="0.3">
      <c r="A129" s="2">
        <v>45569</v>
      </c>
      <c r="B129">
        <f t="shared" si="1"/>
        <v>40</v>
      </c>
    </row>
    <row r="130" spans="1:2" x14ac:dyDescent="0.3">
      <c r="A130" s="2">
        <v>45615</v>
      </c>
      <c r="B130">
        <f t="shared" ref="B130:B193" si="2">WEEKNUM(A130)</f>
        <v>47</v>
      </c>
    </row>
    <row r="131" spans="1:2" x14ac:dyDescent="0.3">
      <c r="A131" s="2">
        <v>45387</v>
      </c>
      <c r="B131">
        <f t="shared" si="2"/>
        <v>14</v>
      </c>
    </row>
    <row r="132" spans="1:2" x14ac:dyDescent="0.3">
      <c r="A132" s="2">
        <v>45624</v>
      </c>
      <c r="B132">
        <f t="shared" si="2"/>
        <v>48</v>
      </c>
    </row>
    <row r="133" spans="1:2" x14ac:dyDescent="0.3">
      <c r="A133" s="2">
        <v>45725</v>
      </c>
      <c r="B133">
        <f t="shared" si="2"/>
        <v>11</v>
      </c>
    </row>
    <row r="134" spans="1:2" x14ac:dyDescent="0.3">
      <c r="A134" s="2">
        <v>45531</v>
      </c>
      <c r="B134">
        <f t="shared" si="2"/>
        <v>35</v>
      </c>
    </row>
    <row r="135" spans="1:2" x14ac:dyDescent="0.3">
      <c r="A135" s="2">
        <v>45566</v>
      </c>
      <c r="B135">
        <f t="shared" si="2"/>
        <v>40</v>
      </c>
    </row>
    <row r="136" spans="1:2" x14ac:dyDescent="0.3">
      <c r="A136" s="2">
        <v>45647</v>
      </c>
      <c r="B136">
        <f t="shared" si="2"/>
        <v>51</v>
      </c>
    </row>
    <row r="137" spans="1:2" x14ac:dyDescent="0.3">
      <c r="A137" s="2">
        <v>45460</v>
      </c>
      <c r="B137">
        <f t="shared" si="2"/>
        <v>25</v>
      </c>
    </row>
    <row r="138" spans="1:2" x14ac:dyDescent="0.3">
      <c r="A138" s="2">
        <v>45799</v>
      </c>
      <c r="B138">
        <f t="shared" si="2"/>
        <v>21</v>
      </c>
    </row>
    <row r="139" spans="1:2" x14ac:dyDescent="0.3">
      <c r="A139" s="2">
        <v>45312</v>
      </c>
      <c r="B139">
        <f t="shared" si="2"/>
        <v>4</v>
      </c>
    </row>
    <row r="140" spans="1:2" x14ac:dyDescent="0.3">
      <c r="A140" s="2">
        <v>45696</v>
      </c>
      <c r="B140">
        <f t="shared" si="2"/>
        <v>6</v>
      </c>
    </row>
    <row r="141" spans="1:2" x14ac:dyDescent="0.3">
      <c r="A141" s="2">
        <v>45760</v>
      </c>
      <c r="B141">
        <f t="shared" si="2"/>
        <v>16</v>
      </c>
    </row>
    <row r="142" spans="1:2" x14ac:dyDescent="0.3">
      <c r="A142" s="2">
        <v>45442</v>
      </c>
      <c r="B142">
        <f t="shared" si="2"/>
        <v>22</v>
      </c>
    </row>
    <row r="143" spans="1:2" x14ac:dyDescent="0.3">
      <c r="A143" s="2">
        <v>45562</v>
      </c>
      <c r="B143">
        <f t="shared" si="2"/>
        <v>39</v>
      </c>
    </row>
    <row r="144" spans="1:2" x14ac:dyDescent="0.3">
      <c r="A144" s="2">
        <v>45819</v>
      </c>
      <c r="B144">
        <f t="shared" si="2"/>
        <v>24</v>
      </c>
    </row>
    <row r="145" spans="1:2" x14ac:dyDescent="0.3">
      <c r="A145" s="2">
        <v>45407</v>
      </c>
      <c r="B145">
        <f t="shared" si="2"/>
        <v>17</v>
      </c>
    </row>
    <row r="146" spans="1:2" x14ac:dyDescent="0.3">
      <c r="A146" s="2">
        <v>45538</v>
      </c>
      <c r="B146">
        <f t="shared" si="2"/>
        <v>36</v>
      </c>
    </row>
    <row r="147" spans="1:2" x14ac:dyDescent="0.3">
      <c r="A147" s="2">
        <v>45718</v>
      </c>
      <c r="B147">
        <f t="shared" si="2"/>
        <v>10</v>
      </c>
    </row>
    <row r="148" spans="1:2" x14ac:dyDescent="0.3">
      <c r="A148" s="2">
        <v>45737</v>
      </c>
      <c r="B148">
        <f t="shared" si="2"/>
        <v>12</v>
      </c>
    </row>
    <row r="149" spans="1:2" x14ac:dyDescent="0.3">
      <c r="A149" s="2">
        <v>45394</v>
      </c>
      <c r="B149">
        <f t="shared" si="2"/>
        <v>15</v>
      </c>
    </row>
    <row r="150" spans="1:2" x14ac:dyDescent="0.3">
      <c r="A150" s="2">
        <v>45330</v>
      </c>
      <c r="B150">
        <f t="shared" si="2"/>
        <v>6</v>
      </c>
    </row>
    <row r="151" spans="1:2" x14ac:dyDescent="0.3">
      <c r="A151" s="2">
        <v>45803</v>
      </c>
      <c r="B151">
        <f t="shared" si="2"/>
        <v>22</v>
      </c>
    </row>
    <row r="152" spans="1:2" x14ac:dyDescent="0.3">
      <c r="A152" s="2">
        <v>45610</v>
      </c>
      <c r="B152">
        <f t="shared" si="2"/>
        <v>46</v>
      </c>
    </row>
    <row r="153" spans="1:2" x14ac:dyDescent="0.3">
      <c r="A153" s="2">
        <v>45513</v>
      </c>
      <c r="B153">
        <f t="shared" si="2"/>
        <v>32</v>
      </c>
    </row>
    <row r="154" spans="1:2" x14ac:dyDescent="0.3">
      <c r="A154" s="2">
        <v>45835</v>
      </c>
      <c r="B154">
        <f t="shared" si="2"/>
        <v>26</v>
      </c>
    </row>
    <row r="155" spans="1:2" x14ac:dyDescent="0.3">
      <c r="A155" s="2">
        <v>45684</v>
      </c>
      <c r="B155">
        <f t="shared" si="2"/>
        <v>5</v>
      </c>
    </row>
    <row r="156" spans="1:2" x14ac:dyDescent="0.3">
      <c r="A156" s="2">
        <v>45385</v>
      </c>
      <c r="B156">
        <f t="shared" si="2"/>
        <v>14</v>
      </c>
    </row>
    <row r="157" spans="1:2" x14ac:dyDescent="0.3">
      <c r="A157" s="2">
        <v>45619</v>
      </c>
      <c r="B157">
        <f t="shared" si="2"/>
        <v>47</v>
      </c>
    </row>
    <row r="158" spans="1:2" x14ac:dyDescent="0.3">
      <c r="A158" s="2">
        <v>45536</v>
      </c>
      <c r="B158">
        <f t="shared" si="2"/>
        <v>36</v>
      </c>
    </row>
    <row r="159" spans="1:2" x14ac:dyDescent="0.3">
      <c r="A159" s="2">
        <v>45400</v>
      </c>
      <c r="B159">
        <f t="shared" si="2"/>
        <v>16</v>
      </c>
    </row>
    <row r="160" spans="1:2" x14ac:dyDescent="0.3">
      <c r="A160" s="2">
        <v>45447</v>
      </c>
      <c r="B160">
        <f t="shared" si="2"/>
        <v>23</v>
      </c>
    </row>
    <row r="161" spans="1:2" x14ac:dyDescent="0.3">
      <c r="A161" s="2">
        <v>45749</v>
      </c>
      <c r="B161">
        <f t="shared" si="2"/>
        <v>14</v>
      </c>
    </row>
    <row r="162" spans="1:2" x14ac:dyDescent="0.3">
      <c r="A162" s="2">
        <v>45748</v>
      </c>
      <c r="B162">
        <f t="shared" si="2"/>
        <v>14</v>
      </c>
    </row>
    <row r="163" spans="1:2" x14ac:dyDescent="0.3">
      <c r="A163" s="2">
        <v>45475</v>
      </c>
      <c r="B163">
        <f t="shared" si="2"/>
        <v>27</v>
      </c>
    </row>
    <row r="164" spans="1:2" x14ac:dyDescent="0.3">
      <c r="A164" s="2">
        <v>45606</v>
      </c>
      <c r="B164">
        <f t="shared" si="2"/>
        <v>46</v>
      </c>
    </row>
    <row r="165" spans="1:2" x14ac:dyDescent="0.3">
      <c r="A165" s="2">
        <v>45640</v>
      </c>
      <c r="B165">
        <f t="shared" si="2"/>
        <v>50</v>
      </c>
    </row>
    <row r="166" spans="1:2" x14ac:dyDescent="0.3">
      <c r="A166" s="2">
        <v>45370</v>
      </c>
      <c r="B166">
        <f t="shared" si="2"/>
        <v>12</v>
      </c>
    </row>
    <row r="167" spans="1:2" x14ac:dyDescent="0.3">
      <c r="A167" s="2">
        <v>45496</v>
      </c>
      <c r="B167">
        <f t="shared" si="2"/>
        <v>30</v>
      </c>
    </row>
    <row r="168" spans="1:2" x14ac:dyDescent="0.3">
      <c r="A168" s="2">
        <v>45486</v>
      </c>
      <c r="B168">
        <f t="shared" si="2"/>
        <v>28</v>
      </c>
    </row>
    <row r="169" spans="1:2" x14ac:dyDescent="0.3">
      <c r="A169" s="2">
        <v>45459</v>
      </c>
      <c r="B169">
        <f t="shared" si="2"/>
        <v>25</v>
      </c>
    </row>
    <row r="170" spans="1:2" x14ac:dyDescent="0.3">
      <c r="A170" s="2">
        <v>45795</v>
      </c>
      <c r="B170">
        <f t="shared" si="2"/>
        <v>21</v>
      </c>
    </row>
    <row r="171" spans="1:2" x14ac:dyDescent="0.3">
      <c r="A171" s="2">
        <v>45814</v>
      </c>
      <c r="B171">
        <f t="shared" si="2"/>
        <v>23</v>
      </c>
    </row>
    <row r="172" spans="1:2" x14ac:dyDescent="0.3">
      <c r="A172" s="2">
        <v>45708</v>
      </c>
      <c r="B172">
        <f t="shared" si="2"/>
        <v>8</v>
      </c>
    </row>
    <row r="173" spans="1:2" x14ac:dyDescent="0.3">
      <c r="A173" s="2">
        <v>45673</v>
      </c>
      <c r="B173">
        <f t="shared" si="2"/>
        <v>3</v>
      </c>
    </row>
    <row r="174" spans="1:2" x14ac:dyDescent="0.3">
      <c r="A174" s="2">
        <v>45551</v>
      </c>
      <c r="B174">
        <f t="shared" si="2"/>
        <v>38</v>
      </c>
    </row>
    <row r="175" spans="1:2" x14ac:dyDescent="0.3">
      <c r="A175" s="2">
        <v>45422</v>
      </c>
      <c r="B175">
        <f t="shared" si="2"/>
        <v>19</v>
      </c>
    </row>
    <row r="176" spans="1:2" x14ac:dyDescent="0.3">
      <c r="A176" s="2">
        <v>45305</v>
      </c>
      <c r="B176">
        <f t="shared" si="2"/>
        <v>3</v>
      </c>
    </row>
    <row r="177" spans="1:2" x14ac:dyDescent="0.3">
      <c r="A177" s="2">
        <v>45669</v>
      </c>
      <c r="B177">
        <f t="shared" si="2"/>
        <v>3</v>
      </c>
    </row>
    <row r="178" spans="1:2" x14ac:dyDescent="0.3">
      <c r="A178" s="2">
        <v>45634</v>
      </c>
      <c r="B178">
        <f t="shared" si="2"/>
        <v>50</v>
      </c>
    </row>
    <row r="179" spans="1:2" x14ac:dyDescent="0.3">
      <c r="A179" s="2">
        <v>45484</v>
      </c>
      <c r="B179">
        <f t="shared" si="2"/>
        <v>28</v>
      </c>
    </row>
    <row r="180" spans="1:2" x14ac:dyDescent="0.3">
      <c r="A180" s="2">
        <v>45369</v>
      </c>
      <c r="B180">
        <f t="shared" si="2"/>
        <v>12</v>
      </c>
    </row>
    <row r="181" spans="1:2" x14ac:dyDescent="0.3">
      <c r="A181" s="2">
        <v>45547</v>
      </c>
      <c r="B181">
        <f t="shared" si="2"/>
        <v>37</v>
      </c>
    </row>
    <row r="182" spans="1:2" x14ac:dyDescent="0.3">
      <c r="A182" s="2">
        <v>45571</v>
      </c>
      <c r="B182">
        <f t="shared" si="2"/>
        <v>41</v>
      </c>
    </row>
    <row r="183" spans="1:2" x14ac:dyDescent="0.3">
      <c r="A183" s="2">
        <v>45656</v>
      </c>
      <c r="B183">
        <f t="shared" si="2"/>
        <v>53</v>
      </c>
    </row>
    <row r="184" spans="1:2" x14ac:dyDescent="0.3">
      <c r="A184" s="2">
        <v>45525</v>
      </c>
      <c r="B184">
        <f t="shared" si="2"/>
        <v>34</v>
      </c>
    </row>
    <row r="185" spans="1:2" x14ac:dyDescent="0.3">
      <c r="A185" s="2">
        <v>45754</v>
      </c>
      <c r="B185">
        <f t="shared" si="2"/>
        <v>15</v>
      </c>
    </row>
    <row r="186" spans="1:2" x14ac:dyDescent="0.3">
      <c r="A186" s="2">
        <v>45492</v>
      </c>
      <c r="B186">
        <f t="shared" si="2"/>
        <v>29</v>
      </c>
    </row>
    <row r="187" spans="1:2" x14ac:dyDescent="0.3">
      <c r="A187" s="2">
        <v>45780</v>
      </c>
      <c r="B187">
        <f t="shared" si="2"/>
        <v>18</v>
      </c>
    </row>
    <row r="188" spans="1:2" x14ac:dyDescent="0.3">
      <c r="A188" s="2">
        <v>45396</v>
      </c>
      <c r="B188">
        <f t="shared" si="2"/>
        <v>16</v>
      </c>
    </row>
    <row r="189" spans="1:2" x14ac:dyDescent="0.3">
      <c r="A189" s="2">
        <v>45827</v>
      </c>
      <c r="B189">
        <f t="shared" si="2"/>
        <v>25</v>
      </c>
    </row>
    <row r="190" spans="1:2" x14ac:dyDescent="0.3">
      <c r="A190" s="2">
        <v>45832</v>
      </c>
      <c r="B190">
        <f t="shared" si="2"/>
        <v>26</v>
      </c>
    </row>
    <row r="191" spans="1:2" x14ac:dyDescent="0.3">
      <c r="A191" s="2">
        <v>45672</v>
      </c>
      <c r="B191">
        <f t="shared" si="2"/>
        <v>3</v>
      </c>
    </row>
    <row r="192" spans="1:2" x14ac:dyDescent="0.3">
      <c r="A192" s="2">
        <v>45808</v>
      </c>
      <c r="B192">
        <f t="shared" si="2"/>
        <v>22</v>
      </c>
    </row>
    <row r="193" spans="1:2" x14ac:dyDescent="0.3">
      <c r="A193" s="2">
        <v>45579</v>
      </c>
      <c r="B193">
        <f t="shared" si="2"/>
        <v>42</v>
      </c>
    </row>
    <row r="194" spans="1:2" x14ac:dyDescent="0.3">
      <c r="A194" s="2">
        <v>45332</v>
      </c>
      <c r="B194">
        <f t="shared" ref="B194:B236" si="3">WEEKNUM(A194)</f>
        <v>6</v>
      </c>
    </row>
    <row r="195" spans="1:2" x14ac:dyDescent="0.3">
      <c r="A195" s="2">
        <v>45636</v>
      </c>
      <c r="B195">
        <f t="shared" si="3"/>
        <v>50</v>
      </c>
    </row>
    <row r="196" spans="1:2" x14ac:dyDescent="0.3">
      <c r="A196" s="2">
        <v>45786</v>
      </c>
      <c r="B196">
        <f t="shared" si="3"/>
        <v>19</v>
      </c>
    </row>
    <row r="197" spans="1:2" x14ac:dyDescent="0.3">
      <c r="A197" s="2">
        <v>45829</v>
      </c>
      <c r="B197">
        <f t="shared" si="3"/>
        <v>25</v>
      </c>
    </row>
    <row r="198" spans="1:2" x14ac:dyDescent="0.3">
      <c r="A198" s="2">
        <v>45462</v>
      </c>
      <c r="B198">
        <f t="shared" si="3"/>
        <v>25</v>
      </c>
    </row>
    <row r="199" spans="1:2" x14ac:dyDescent="0.3">
      <c r="A199" s="2">
        <v>45323</v>
      </c>
      <c r="B199">
        <f t="shared" si="3"/>
        <v>5</v>
      </c>
    </row>
    <row r="200" spans="1:2" x14ac:dyDescent="0.3">
      <c r="A200" s="2">
        <v>45308</v>
      </c>
      <c r="B200">
        <f t="shared" si="3"/>
        <v>3</v>
      </c>
    </row>
    <row r="201" spans="1:2" x14ac:dyDescent="0.3">
      <c r="A201" s="2">
        <v>45738</v>
      </c>
      <c r="B201">
        <f t="shared" si="3"/>
        <v>12</v>
      </c>
    </row>
    <row r="202" spans="1:2" x14ac:dyDescent="0.3">
      <c r="A202" s="2">
        <v>45585</v>
      </c>
      <c r="B202">
        <f t="shared" si="3"/>
        <v>43</v>
      </c>
    </row>
    <row r="203" spans="1:2" x14ac:dyDescent="0.3">
      <c r="A203" s="2">
        <v>45324</v>
      </c>
      <c r="B203">
        <f t="shared" si="3"/>
        <v>5</v>
      </c>
    </row>
    <row r="204" spans="1:2" x14ac:dyDescent="0.3">
      <c r="A204" s="2">
        <v>45646</v>
      </c>
      <c r="B204">
        <f t="shared" si="3"/>
        <v>51</v>
      </c>
    </row>
    <row r="205" spans="1:2" x14ac:dyDescent="0.3">
      <c r="A205" s="2">
        <v>45639</v>
      </c>
      <c r="B205">
        <f t="shared" si="3"/>
        <v>50</v>
      </c>
    </row>
    <row r="206" spans="1:2" x14ac:dyDescent="0.3">
      <c r="A206" s="2">
        <v>45550</v>
      </c>
      <c r="B206">
        <f t="shared" si="3"/>
        <v>38</v>
      </c>
    </row>
    <row r="207" spans="1:2" x14ac:dyDescent="0.3">
      <c r="A207" s="2">
        <v>45759</v>
      </c>
      <c r="B207">
        <f t="shared" si="3"/>
        <v>15</v>
      </c>
    </row>
    <row r="208" spans="1:2" x14ac:dyDescent="0.3">
      <c r="A208" s="2">
        <v>45816</v>
      </c>
      <c r="B208">
        <f t="shared" si="3"/>
        <v>24</v>
      </c>
    </row>
    <row r="209" spans="1:2" x14ac:dyDescent="0.3">
      <c r="A209" s="2">
        <v>45481</v>
      </c>
      <c r="B209">
        <f t="shared" si="3"/>
        <v>28</v>
      </c>
    </row>
    <row r="210" spans="1:2" x14ac:dyDescent="0.3">
      <c r="A210" s="2">
        <v>45457</v>
      </c>
      <c r="B210">
        <f t="shared" si="3"/>
        <v>24</v>
      </c>
    </row>
    <row r="211" spans="1:2" x14ac:dyDescent="0.3">
      <c r="A211" s="2">
        <v>45512</v>
      </c>
      <c r="B211">
        <f t="shared" si="3"/>
        <v>32</v>
      </c>
    </row>
    <row r="212" spans="1:2" x14ac:dyDescent="0.3">
      <c r="A212" s="2">
        <v>45691</v>
      </c>
      <c r="B212">
        <f t="shared" si="3"/>
        <v>6</v>
      </c>
    </row>
    <row r="213" spans="1:2" x14ac:dyDescent="0.3">
      <c r="A213" s="2">
        <v>45451</v>
      </c>
      <c r="B213">
        <f t="shared" si="3"/>
        <v>23</v>
      </c>
    </row>
    <row r="214" spans="1:2" x14ac:dyDescent="0.3">
      <c r="A214" s="2">
        <v>45676</v>
      </c>
      <c r="B214">
        <f t="shared" si="3"/>
        <v>4</v>
      </c>
    </row>
    <row r="215" spans="1:2" x14ac:dyDescent="0.3">
      <c r="A215" s="2">
        <v>45612</v>
      </c>
      <c r="B215">
        <f t="shared" si="3"/>
        <v>46</v>
      </c>
    </row>
    <row r="216" spans="1:2" x14ac:dyDescent="0.3">
      <c r="A216" s="2">
        <v>45626</v>
      </c>
      <c r="B216">
        <f t="shared" si="3"/>
        <v>48</v>
      </c>
    </row>
    <row r="217" spans="1:2" x14ac:dyDescent="0.3">
      <c r="A217" s="2">
        <v>45378</v>
      </c>
      <c r="B217">
        <f t="shared" si="3"/>
        <v>13</v>
      </c>
    </row>
    <row r="218" spans="1:2" x14ac:dyDescent="0.3">
      <c r="A218" s="2">
        <v>45604</v>
      </c>
      <c r="B218">
        <f t="shared" si="3"/>
        <v>45</v>
      </c>
    </row>
    <row r="219" spans="1:2" x14ac:dyDescent="0.3">
      <c r="A219" s="2">
        <v>45368</v>
      </c>
      <c r="B219">
        <f t="shared" si="3"/>
        <v>12</v>
      </c>
    </row>
    <row r="220" spans="1:2" x14ac:dyDescent="0.3">
      <c r="A220" s="2">
        <v>45464</v>
      </c>
      <c r="B220">
        <f t="shared" si="3"/>
        <v>25</v>
      </c>
    </row>
    <row r="221" spans="1:2" x14ac:dyDescent="0.3">
      <c r="A221" s="2">
        <v>45341</v>
      </c>
      <c r="B221">
        <f t="shared" si="3"/>
        <v>8</v>
      </c>
    </row>
    <row r="222" spans="1:2" x14ac:dyDescent="0.3">
      <c r="A222" s="2">
        <v>45720</v>
      </c>
      <c r="B222">
        <f t="shared" si="3"/>
        <v>10</v>
      </c>
    </row>
    <row r="223" spans="1:2" x14ac:dyDescent="0.3">
      <c r="A223" s="2">
        <v>45628</v>
      </c>
      <c r="B223">
        <f t="shared" si="3"/>
        <v>49</v>
      </c>
    </row>
    <row r="224" spans="1:2" x14ac:dyDescent="0.3">
      <c r="A224" s="2">
        <v>45298</v>
      </c>
      <c r="B224">
        <f t="shared" si="3"/>
        <v>2</v>
      </c>
    </row>
    <row r="225" spans="1:2" x14ac:dyDescent="0.3">
      <c r="A225" s="2">
        <v>45343</v>
      </c>
      <c r="B225">
        <f t="shared" si="3"/>
        <v>8</v>
      </c>
    </row>
    <row r="226" spans="1:2" x14ac:dyDescent="0.3">
      <c r="A226" s="2">
        <v>45589</v>
      </c>
      <c r="B226">
        <f t="shared" si="3"/>
        <v>43</v>
      </c>
    </row>
    <row r="227" spans="1:2" x14ac:dyDescent="0.3">
      <c r="A227" s="2">
        <v>45686</v>
      </c>
      <c r="B227">
        <f t="shared" si="3"/>
        <v>5</v>
      </c>
    </row>
    <row r="228" spans="1:2" x14ac:dyDescent="0.3">
      <c r="A228" s="2">
        <v>45468</v>
      </c>
      <c r="B228">
        <f t="shared" si="3"/>
        <v>26</v>
      </c>
    </row>
    <row r="229" spans="1:2" x14ac:dyDescent="0.3">
      <c r="A229" s="2">
        <v>45517</v>
      </c>
      <c r="B229">
        <f t="shared" si="3"/>
        <v>33</v>
      </c>
    </row>
    <row r="230" spans="1:2" x14ac:dyDescent="0.3">
      <c r="A230" s="2">
        <v>45472</v>
      </c>
      <c r="B230">
        <f t="shared" si="3"/>
        <v>26</v>
      </c>
    </row>
    <row r="231" spans="1:2" x14ac:dyDescent="0.3">
      <c r="A231" s="2">
        <v>45765</v>
      </c>
      <c r="B231">
        <f t="shared" si="3"/>
        <v>16</v>
      </c>
    </row>
    <row r="232" spans="1:2" x14ac:dyDescent="0.3">
      <c r="A232" s="2">
        <v>45653</v>
      </c>
      <c r="B232">
        <f t="shared" si="3"/>
        <v>52</v>
      </c>
    </row>
    <row r="233" spans="1:2" x14ac:dyDescent="0.3">
      <c r="A233" s="2">
        <v>45724</v>
      </c>
      <c r="B233">
        <f t="shared" si="3"/>
        <v>10</v>
      </c>
    </row>
    <row r="234" spans="1:2" x14ac:dyDescent="0.3">
      <c r="A234" s="2">
        <v>45838</v>
      </c>
      <c r="B234">
        <f t="shared" si="3"/>
        <v>27</v>
      </c>
    </row>
    <row r="235" spans="1:2" x14ac:dyDescent="0.3">
      <c r="A235" s="2">
        <v>45303</v>
      </c>
      <c r="B235">
        <f t="shared" si="3"/>
        <v>2</v>
      </c>
    </row>
    <row r="236" spans="1:2" x14ac:dyDescent="0.3">
      <c r="A236" s="2">
        <v>45329</v>
      </c>
      <c r="B236">
        <f t="shared" si="3"/>
        <v>6</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4D7EF977-13BE-4994-9EFA-7A051640DBB9}">
  <ds:schemaRefs/>
</ds:datastoreItem>
</file>

<file path=customXml/itemProps2.xml><?xml version="1.0" encoding="utf-8"?>
<ds:datastoreItem xmlns:ds="http://schemas.openxmlformats.org/officeDocument/2006/customXml" ds:itemID="{DCCEF6CB-851F-4FCA-9A80-38036141605B}">
  <ds:schemaRefs/>
</ds:datastoreItem>
</file>

<file path=customXml/itemProps3.xml><?xml version="1.0" encoding="utf-8"?>
<ds:datastoreItem xmlns:ds="http://schemas.openxmlformats.org/officeDocument/2006/customXml" ds:itemID="{DB7A1C23-C986-4BFC-BCB6-E89A28F216C8}">
  <ds:schemaRefs/>
</ds:datastoreItem>
</file>

<file path=customXml/itemProps4.xml><?xml version="1.0" encoding="utf-8"?>
<ds:datastoreItem xmlns:ds="http://schemas.openxmlformats.org/officeDocument/2006/customXml" ds:itemID="{60ABE21A-40F5-4387-B7C6-7D2222F7103E}">
  <ds:schemaRefs/>
</ds:datastoreItem>
</file>

<file path=customXml/itemProps5.xml><?xml version="1.0" encoding="utf-8"?>
<ds:datastoreItem xmlns:ds="http://schemas.openxmlformats.org/officeDocument/2006/customXml" ds:itemID="{BE4D4539-4BB8-4678-8D9B-727E7CEB9F22}">
  <ds:schemaRefs/>
</ds:datastoreItem>
</file>

<file path=customXml/itemProps6.xml><?xml version="1.0" encoding="utf-8"?>
<ds:datastoreItem xmlns:ds="http://schemas.openxmlformats.org/officeDocument/2006/customXml" ds:itemID="{02BA2DE7-FD85-4D42-9875-BF32B0AF45CF}">
  <ds:schemaRefs/>
</ds:datastoreItem>
</file>

<file path=customXml/itemProps7.xml><?xml version="1.0" encoding="utf-8"?>
<ds:datastoreItem xmlns:ds="http://schemas.openxmlformats.org/officeDocument/2006/customXml" ds:itemID="{DF4FC63D-279B-4C4E-B821-0526C1960167}">
  <ds:schemaRefs/>
</ds:datastoreItem>
</file>

<file path=customXml/itemProps8.xml><?xml version="1.0" encoding="utf-8"?>
<ds:datastoreItem xmlns:ds="http://schemas.openxmlformats.org/officeDocument/2006/customXml" ds:itemID="{DAF9DDE7-8C27-4F36-A29F-9646FA59CA7A}">
  <ds:schemaRefs/>
</ds:datastoreItem>
</file>

<file path=customXml/itemProps9.xml><?xml version="1.0" encoding="utf-8"?>
<ds:datastoreItem xmlns:ds="http://schemas.openxmlformats.org/officeDocument/2006/customXml" ds:itemID="{5B8C0FB8-E4E1-4D09-B8B4-BB091EEE53C3}">
  <ds:schemaRefs/>
</ds:datastoreItem>
</file>

<file path=customXml/itemProps10.xml><?xml version="1.0" encoding="utf-8"?>
<ds:datastoreItem xmlns:ds="http://schemas.openxmlformats.org/officeDocument/2006/customXml" ds:itemID="{52092A62-C7E8-4939-A334-A35B6AF07A6E}">
  <ds:schemaRefs/>
</ds:datastoreItem>
</file>

<file path=customXml/itemProps11.xml><?xml version="1.0" encoding="utf-8"?>
<ds:datastoreItem xmlns:ds="http://schemas.openxmlformats.org/officeDocument/2006/customXml" ds:itemID="{4358C3D5-0668-4CB5-9D0C-0DBD182A4FC2}">
  <ds:schemaRefs/>
</ds:datastoreItem>
</file>

<file path=customXml/itemProps12.xml><?xml version="1.0" encoding="utf-8"?>
<ds:datastoreItem xmlns:ds="http://schemas.openxmlformats.org/officeDocument/2006/customXml" ds:itemID="{BE641D7F-553F-4AD4-908D-9E446A0BA1E9}">
  <ds:schemaRefs/>
</ds:datastoreItem>
</file>

<file path=customXml/itemProps13.xml><?xml version="1.0" encoding="utf-8"?>
<ds:datastoreItem xmlns:ds="http://schemas.openxmlformats.org/officeDocument/2006/customXml" ds:itemID="{23846B18-B5EF-4FC3-8F47-0CF4AFD4B5E8}">
  <ds:schemaRefs/>
</ds:datastoreItem>
</file>

<file path=customXml/itemProps14.xml><?xml version="1.0" encoding="utf-8"?>
<ds:datastoreItem xmlns:ds="http://schemas.openxmlformats.org/officeDocument/2006/customXml" ds:itemID="{745C14EE-47A1-4A01-B87A-CC2A2FA13A33}">
  <ds:schemaRefs/>
</ds:datastoreItem>
</file>

<file path=customXml/itemProps15.xml><?xml version="1.0" encoding="utf-8"?>
<ds:datastoreItem xmlns:ds="http://schemas.openxmlformats.org/officeDocument/2006/customXml" ds:itemID="{7757167E-E7D8-41D9-92AA-6CB514216092}">
  <ds:schemaRefs/>
</ds:datastoreItem>
</file>

<file path=customXml/itemProps16.xml><?xml version="1.0" encoding="utf-8"?>
<ds:datastoreItem xmlns:ds="http://schemas.openxmlformats.org/officeDocument/2006/customXml" ds:itemID="{9667B9BA-9DA2-4A37-A71E-F574BEE52680}">
  <ds:schemaRefs/>
</ds:datastoreItem>
</file>

<file path=customXml/itemProps17.xml><?xml version="1.0" encoding="utf-8"?>
<ds:datastoreItem xmlns:ds="http://schemas.openxmlformats.org/officeDocument/2006/customXml" ds:itemID="{ADBDC87B-1595-4E43-A5D1-E8E3BEA4862A}">
  <ds:schemaRefs/>
</ds:datastoreItem>
</file>

<file path=customXml/itemProps18.xml><?xml version="1.0" encoding="utf-8"?>
<ds:datastoreItem xmlns:ds="http://schemas.openxmlformats.org/officeDocument/2006/customXml" ds:itemID="{3ADC3E64-80F9-4E8B-BB0D-979168442C1C}">
  <ds:schemaRefs/>
</ds:datastoreItem>
</file>

<file path=customXml/itemProps19.xml><?xml version="1.0" encoding="utf-8"?>
<ds:datastoreItem xmlns:ds="http://schemas.openxmlformats.org/officeDocument/2006/customXml" ds:itemID="{202EA866-8555-4D6F-AC96-70043C7A340E}">
  <ds:schemaRefs/>
</ds:datastoreItem>
</file>

<file path=customXml/itemProps20.xml><?xml version="1.0" encoding="utf-8"?>
<ds:datastoreItem xmlns:ds="http://schemas.openxmlformats.org/officeDocument/2006/customXml" ds:itemID="{D6EA8C13-71F2-4CC1-981A-464A6F3A5C4F}">
  <ds:schemaRefs/>
</ds:datastoreItem>
</file>

<file path=customXml/itemProps21.xml><?xml version="1.0" encoding="utf-8"?>
<ds:datastoreItem xmlns:ds="http://schemas.openxmlformats.org/officeDocument/2006/customXml" ds:itemID="{B9DDFAF0-D5B5-41B5-9A42-942D61DB2127}">
  <ds:schemaRefs/>
</ds:datastoreItem>
</file>

<file path=customXml/itemProps22.xml><?xml version="1.0" encoding="utf-8"?>
<ds:datastoreItem xmlns:ds="http://schemas.openxmlformats.org/officeDocument/2006/customXml" ds:itemID="{FEFF5236-D03A-40A1-9375-027AF4B7D687}">
  <ds:schemaRefs/>
</ds:datastoreItem>
</file>

<file path=customXml/itemProps23.xml><?xml version="1.0" encoding="utf-8"?>
<ds:datastoreItem xmlns:ds="http://schemas.openxmlformats.org/officeDocument/2006/customXml" ds:itemID="{332BEBEB-5ED3-44F3-9562-35A4850D09BB}">
  <ds:schemaRefs/>
</ds:datastoreItem>
</file>

<file path=customXml/itemProps24.xml><?xml version="1.0" encoding="utf-8"?>
<ds:datastoreItem xmlns:ds="http://schemas.openxmlformats.org/officeDocument/2006/customXml" ds:itemID="{4ED603DC-DE4D-441A-BE62-EC3999C8F2AD}">
  <ds:schemaRefs/>
</ds:datastoreItem>
</file>

<file path=customXml/itemProps25.xml><?xml version="1.0" encoding="utf-8"?>
<ds:datastoreItem xmlns:ds="http://schemas.openxmlformats.org/officeDocument/2006/customXml" ds:itemID="{EDEA363F-AF72-431B-90BE-68AC9116E614}">
  <ds:schemaRefs/>
</ds:datastoreItem>
</file>

<file path=customXml/itemProps26.xml><?xml version="1.0" encoding="utf-8"?>
<ds:datastoreItem xmlns:ds="http://schemas.openxmlformats.org/officeDocument/2006/customXml" ds:itemID="{4BB0039B-E86D-4879-BDE7-11F99BC338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Final Conclusion and video link</vt:lpstr>
      <vt:lpstr>Dashboard</vt:lpstr>
      <vt:lpstr>Task6 Follower retention</vt:lpstr>
      <vt:lpstr>Task5 Campaign Effectiveness</vt:lpstr>
      <vt:lpstr>Task4 Hashtag and content... </vt:lpstr>
      <vt:lpstr>Task 3 Platform Performance </vt:lpstr>
      <vt:lpstr>Task 2  Engagement Analysis</vt:lpstr>
      <vt:lpstr>Posts(Clean)</vt:lpstr>
      <vt:lpstr>Engagement Summary(clean)</vt:lpstr>
      <vt:lpstr>Campaign Metadata (clean)</vt:lpstr>
      <vt:lpstr>Platform</vt:lpstr>
      <vt:lpstr>Week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Tnluser</dc:creator>
  <cp:lastModifiedBy>Tnluser</cp:lastModifiedBy>
  <dcterms:created xsi:type="dcterms:W3CDTF">2026-03-25T08:52:29Z</dcterms:created>
  <dcterms:modified xsi:type="dcterms:W3CDTF">2026-03-31T12:37:35Z</dcterms:modified>
</cp:coreProperties>
</file>